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tables/table27.xml" ContentType="application/vnd.openxmlformats-officedocument.spreadsheetml.table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13.xml" ContentType="application/vnd.openxmlformats-officedocument.spreadsheetml.worksheet+xml"/>
  <Override PartName="/xl/tables/table33.xml" ContentType="application/vnd.openxmlformats-officedocument.spreadsheetml.table+xml"/>
  <Override PartName="/xl/worksheets/sheet14.xml" ContentType="application/vnd.openxmlformats-officedocument.spreadsheetml.worksheet+xml"/>
  <Override PartName="/xl/tables/table34.xml" ContentType="application/vnd.openxmlformats-officedocument.spreadsheetml.table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 &amp; Assumptions" sheetId="1" state="visible" r:id="rId1"/>
    <sheet xmlns:r="http://schemas.openxmlformats.org/officeDocument/2006/relationships" name="Depot &amp; Vehicle Master" sheetId="2" state="visible" r:id="rId2"/>
    <sheet xmlns:r="http://schemas.openxmlformats.org/officeDocument/2006/relationships" name="Order &amp; Demand Profile" sheetId="3" state="visible" r:id="rId3"/>
    <sheet xmlns:r="http://schemas.openxmlformats.org/officeDocument/2006/relationships" name="Routing Analysis" sheetId="4" state="visible" r:id="rId4"/>
    <sheet xmlns:r="http://schemas.openxmlformats.org/officeDocument/2006/relationships" name="Route Stops &amp; Compliance" sheetId="5" state="visible" r:id="rId5"/>
    <sheet xmlns:r="http://schemas.openxmlformats.org/officeDocument/2006/relationships" name="Fleet Sizing" sheetId="6" state="visible" r:id="rId6"/>
    <sheet xmlns:r="http://schemas.openxmlformats.org/officeDocument/2006/relationships" name="Warehouse Slotting" sheetId="7" state="visible" r:id="rId7"/>
    <sheet xmlns:r="http://schemas.openxmlformats.org/officeDocument/2006/relationships" name="Warehouse Performance" sheetId="8" state="visible" r:id="rId8"/>
    <sheet xmlns:r="http://schemas.openxmlformats.org/officeDocument/2006/relationships" name="Simulation Results" sheetId="9" state="visible" r:id="rId9"/>
    <sheet xmlns:r="http://schemas.openxmlformats.org/officeDocument/2006/relationships" name="Network Design" sheetId="10" state="visible" r:id="rId10"/>
    <sheet xmlns:r="http://schemas.openxmlformats.org/officeDocument/2006/relationships" name="Facility Economics" sheetId="11" state="visible" r:id="rId11"/>
    <sheet xmlns:r="http://schemas.openxmlformats.org/officeDocument/2006/relationships" name="ML Performance" sheetId="12" state="visible" r:id="rId12"/>
    <sheet xmlns:r="http://schemas.openxmlformats.org/officeDocument/2006/relationships" name="KPI Definitions" sheetId="13" state="visible" r:id="rId13"/>
    <sheet xmlns:r="http://schemas.openxmlformats.org/officeDocument/2006/relationships" name="Scenario Comparison" sheetId="14" state="visible" r:id="rId14"/>
    <sheet xmlns:r="http://schemas.openxmlformats.org/officeDocument/2006/relationships" name="Executive 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#,##0.0"/>
    <numFmt numFmtId="165" formatCode="yyyy-mm-dd"/>
    <numFmt numFmtId="166" formatCode="0.0%"/>
    <numFmt numFmtId="167" formatCode="0.0000"/>
    <numFmt numFmtId="168" formatCode="&quot;₹&quot;#,##0.00"/>
    <numFmt numFmtId="169" formatCode="&quot;₹&quot;#,##0;(&quot;₹&quot;#,##0);&quot;-&quot;"/>
    <numFmt numFmtId="170" formatCode="0.00&quot;x&quot;"/>
    <numFmt numFmtId="171" formatCode="dd-mmm"/>
    <numFmt numFmtId="172" formatCode="#,##0.0&quot; km&quot;"/>
    <numFmt numFmtId="173" formatCode=";;;"/>
    <numFmt numFmtId="174" formatCode="&quot;₹&quot;0.00&quot; cr&quot;;(&quot;₹&quot;0.00&quot; cr&quot;)"/>
    <numFmt numFmtId="175" formatCode="0.0&quot;%&quot;"/>
    <numFmt numFmtId="176" formatCode="0.000"/>
    <numFmt numFmtId="177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B7A90"/>
      <sz val="10"/>
    </font>
    <font>
      <name val="Arial"/>
      <b val="1"/>
      <color rgb="001F2A44"/>
      <sz val="18"/>
    </font>
    <font>
      <name val="Arial"/>
      <color rgb="006B7A90"/>
      <sz val="9"/>
    </font>
    <font>
      <name val="Arial"/>
      <b val="1"/>
      <color rgb="000E7C86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6B7A90"/>
      <sz val="9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000000"/>
      <sz val="8"/>
    </font>
    <font>
      <name val="Arial"/>
      <color rgb="006B7A90"/>
      <sz val="7"/>
    </font>
    <font>
      <name val="Arial"/>
      <b val="1"/>
      <color rgb="00008000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2F6"/>
      </patternFill>
    </fill>
    <fill>
      <patternFill patternType="solid">
        <fgColor rgb="00F7F9FB"/>
      </patternFill>
    </fill>
    <fill>
      <patternFill patternType="solid">
        <fgColor rgb="00FFF6DD"/>
      </patternFill>
    </fill>
    <fill>
      <patternFill patternType="solid">
        <fgColor rgb="00E3EEF0"/>
      </patternFill>
    </fill>
  </fills>
  <borders count="13">
    <border>
      <left/>
      <right/>
      <top/>
      <bottom/>
      <diagonal/>
    </border>
    <border>
      <left style="thick">
        <color rgb="000E7C86"/>
      </left>
    </border>
    <border>
      <bottom style="medium">
        <color rgb="000E7C86"/>
      </bottom>
    </border>
    <border>
      <left style="thin">
        <color rgb="00CFD6DF"/>
      </left>
      <right style="thin">
        <color rgb="00CFD6DF"/>
      </right>
      <top style="thin">
        <color rgb="00CFD6DF"/>
      </top>
      <bottom style="thin">
        <color rgb="00CFD6DF"/>
      </bottom>
    </border>
    <border>
      <left style="thick">
        <color rgb="00E3A21A"/>
      </left>
    </border>
    <border>
      <left style="thick">
        <color rgb="003C8D5A"/>
      </left>
    </border>
    <border>
      <left style="thick">
        <color rgb="00C2413B"/>
      </left>
    </border>
    <border>
      <left style="thick">
        <color rgb="006B7A90"/>
      </left>
    </border>
    <border>
      <left style="thick">
        <color rgb="001F2A44"/>
      </left>
    </border>
    <border>
      <left/>
      <right/>
      <top style="thin">
        <color rgb="00CFD6DF"/>
      </top>
      <bottom/>
      <diagonal/>
    </border>
    <border>
      <left/>
      <right style="thin">
        <color rgb="00CFD6DF"/>
      </right>
      <top style="thin">
        <color rgb="00CFD6DF"/>
      </top>
      <bottom/>
      <diagonal/>
    </border>
    <border>
      <left/>
      <right/>
      <top style="thin">
        <color rgb="00CFD6DF"/>
      </top>
      <bottom style="thin">
        <color rgb="00CFD6DF"/>
      </bottom>
      <diagonal/>
    </border>
    <border>
      <left/>
      <right style="thin">
        <color rgb="00CFD6DF"/>
      </right>
      <top style="thin">
        <color rgb="00CFD6DF"/>
      </top>
      <bottom style="thin">
        <color rgb="00CFD6D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3" fontId="3" fillId="3" borderId="1" applyAlignment="1" pivotButton="0" quotePrefix="0" xfId="0">
      <alignment horizontal="left" vertical="center" indent="1"/>
    </xf>
    <xf numFmtId="0" fontId="0" fillId="3" borderId="0" pivotButton="0" quotePrefix="0" xfId="0"/>
    <xf numFmtId="0" fontId="4" fillId="3" borderId="1" applyAlignment="1" pivotButton="0" quotePrefix="0" xfId="0">
      <alignment horizontal="left" vertical="top" wrapText="1" indent="1"/>
    </xf>
    <xf numFmtId="0" fontId="5" fillId="0" borderId="2" pivotButton="0" quotePrefix="0" xfId="0"/>
    <xf numFmtId="0" fontId="0" fillId="0" borderId="2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0" borderId="3" pivotButton="0" quotePrefix="0" xfId="0"/>
    <xf numFmtId="4" fontId="7" fillId="0" borderId="3" pivotButton="0" quotePrefix="0" xfId="0"/>
    <xf numFmtId="164" fontId="7" fillId="0" borderId="3" pivotButton="0" quotePrefix="0" xfId="0"/>
    <xf numFmtId="3" fontId="7" fillId="0" borderId="3" pivotButton="0" quotePrefix="0" xfId="0"/>
    <xf numFmtId="165" fontId="7" fillId="0" borderId="3" pivotButton="0" quotePrefix="0" xfId="0"/>
    <xf numFmtId="166" fontId="7" fillId="0" borderId="3" pivotButton="0" quotePrefix="0" xfId="0"/>
    <xf numFmtId="0" fontId="7" fillId="4" borderId="3" pivotButton="0" quotePrefix="0" xfId="0"/>
    <xf numFmtId="4" fontId="7" fillId="4" borderId="3" pivotButton="0" quotePrefix="0" xfId="0"/>
    <xf numFmtId="164" fontId="7" fillId="4" borderId="3" pivotButton="0" quotePrefix="0" xfId="0"/>
    <xf numFmtId="3" fontId="7" fillId="4" borderId="3" pivotButton="0" quotePrefix="0" xfId="0"/>
    <xf numFmtId="165" fontId="7" fillId="4" borderId="3" pivotButton="0" quotePrefix="0" xfId="0"/>
    <xf numFmtId="166" fontId="7" fillId="4" borderId="3" pivotButton="0" quotePrefix="0" xfId="0"/>
    <xf numFmtId="0" fontId="8" fillId="0" borderId="0" pivotButton="0" quotePrefix="0" xfId="0"/>
    <xf numFmtId="0" fontId="7" fillId="0" borderId="0" pivotButton="0" quotePrefix="0" xfId="0"/>
    <xf numFmtId="166" fontId="9" fillId="5" borderId="0" pivotButton="0" quotePrefix="0" xfId="0"/>
    <xf numFmtId="3" fontId="9" fillId="5" borderId="0" pivotButton="0" quotePrefix="0" xfId="0"/>
    <xf numFmtId="0" fontId="8" fillId="0" borderId="0" applyAlignment="1" pivotButton="0" quotePrefix="0" xfId="0">
      <alignment vertical="top" wrapText="1"/>
    </xf>
    <xf numFmtId="167" fontId="7" fillId="0" borderId="3" pivotButton="0" quotePrefix="0" xfId="0"/>
    <xf numFmtId="167" fontId="7" fillId="4" borderId="3" pivotButton="0" quotePrefix="0" xfId="0"/>
    <xf numFmtId="168" fontId="7" fillId="0" borderId="3" pivotButton="0" quotePrefix="0" xfId="0"/>
    <xf numFmtId="169" fontId="7" fillId="0" borderId="3" pivotButton="0" quotePrefix="0" xfId="0"/>
    <xf numFmtId="168" fontId="7" fillId="4" borderId="3" pivotButton="0" quotePrefix="0" xfId="0"/>
    <xf numFmtId="169" fontId="7" fillId="4" borderId="3" pivotButton="0" quotePrefix="0" xfId="0"/>
    <xf numFmtId="164" fontId="3" fillId="3" borderId="1" applyAlignment="1" pivotButton="0" quotePrefix="0" xfId="0">
      <alignment horizontal="left" vertical="center" indent="1"/>
    </xf>
    <xf numFmtId="170" fontId="3" fillId="3" borderId="4" applyAlignment="1" pivotButton="0" quotePrefix="0" xfId="0">
      <alignment horizontal="left" vertical="center" indent="1"/>
    </xf>
    <xf numFmtId="0" fontId="4" fillId="3" borderId="4" applyAlignment="1" pivotButton="0" quotePrefix="0" xfId="0">
      <alignment horizontal="left" vertical="top" wrapText="1" indent="1"/>
    </xf>
    <xf numFmtId="0" fontId="6" fillId="2" borderId="0" pivotButton="0" quotePrefix="0" xfId="0"/>
    <xf numFmtId="0" fontId="10" fillId="0" borderId="0" pivotButton="0" quotePrefix="0" xfId="0"/>
    <xf numFmtId="3" fontId="7" fillId="0" borderId="0" pivotButton="0" quotePrefix="0" xfId="0"/>
    <xf numFmtId="164" fontId="7" fillId="0" borderId="0" pivotButton="0" quotePrefix="0" xfId="0"/>
    <xf numFmtId="171" fontId="0" fillId="0" borderId="0" pivotButton="0" quotePrefix="0" xfId="0"/>
    <xf numFmtId="166" fontId="3" fillId="3" borderId="1" applyAlignment="1" pivotButton="0" quotePrefix="0" xfId="0">
      <alignment horizontal="left" vertical="center" indent="1"/>
    </xf>
    <xf numFmtId="166" fontId="3" fillId="3" borderId="5" applyAlignment="1" pivotButton="0" quotePrefix="0" xfId="0">
      <alignment horizontal="left" vertical="center" indent="1"/>
    </xf>
    <xf numFmtId="172" fontId="3" fillId="3" borderId="1" applyAlignment="1" pivotButton="0" quotePrefix="0" xfId="0">
      <alignment horizontal="left" vertical="center" indent="1"/>
    </xf>
    <xf numFmtId="0" fontId="4" fillId="3" borderId="5" applyAlignment="1" pivotButton="0" quotePrefix="0" xfId="0">
      <alignment horizontal="left" vertical="top" wrapText="1" indent="1"/>
    </xf>
    <xf numFmtId="3" fontId="10" fillId="6" borderId="0" pivotButton="0" quotePrefix="0" xfId="0"/>
    <xf numFmtId="169" fontId="10" fillId="6" borderId="0" pivotButton="0" quotePrefix="0" xfId="0"/>
    <xf numFmtId="166" fontId="10" fillId="6" borderId="0" pivotButton="0" quotePrefix="0" xfId="0"/>
    <xf numFmtId="0" fontId="10" fillId="6" borderId="0" pivotButton="0" quotePrefix="0" xfId="0"/>
    <xf numFmtId="164" fontId="10" fillId="6" borderId="0" pivotButton="0" quotePrefix="0" xfId="0"/>
    <xf numFmtId="3" fontId="3" fillId="3" borderId="6" applyAlignment="1" pivotButton="0" quotePrefix="0" xfId="0">
      <alignment horizontal="left" vertical="center" indent="1"/>
    </xf>
    <xf numFmtId="0" fontId="4" fillId="3" borderId="6" applyAlignment="1" pivotButton="0" quotePrefix="0" xfId="0">
      <alignment horizontal="left" vertical="top" wrapText="1" indent="1"/>
    </xf>
    <xf numFmtId="170" fontId="7" fillId="0" borderId="3" pivotButton="0" quotePrefix="0" xfId="0"/>
    <xf numFmtId="170" fontId="7" fillId="4" borderId="3" pivotButton="0" quotePrefix="0" xfId="0"/>
    <xf numFmtId="166" fontId="3" fillId="3" borderId="4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173" fontId="0" fillId="0" borderId="0" pivotButton="0" quotePrefix="0" xfId="0"/>
    <xf numFmtId="166" fontId="10" fillId="0" borderId="0" pivotButton="0" quotePrefix="0" xfId="0"/>
    <xf numFmtId="174" fontId="7" fillId="0" borderId="3" pivotButton="0" quotePrefix="0" xfId="0"/>
    <xf numFmtId="174" fontId="7" fillId="4" borderId="3" pivotButton="0" quotePrefix="0" xfId="0"/>
    <xf numFmtId="166" fontId="13" fillId="0" borderId="0" pivotButton="0" quotePrefix="0" xfId="0"/>
    <xf numFmtId="0" fontId="6" fillId="2" borderId="0" applyAlignment="1" pivotButton="0" quotePrefix="0" xfId="0">
      <alignment horizontal="center" wrapText="1"/>
    </xf>
    <xf numFmtId="169" fontId="7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9" fontId="10" fillId="0" borderId="0" pivotButton="0" quotePrefix="0" xfId="0"/>
    <xf numFmtId="49" fontId="3" fillId="3" borderId="7" applyAlignment="1" pivotButton="0" quotePrefix="0" xfId="0">
      <alignment horizontal="left" vertical="center" indent="1"/>
    </xf>
    <xf numFmtId="0" fontId="4" fillId="3" borderId="7" applyAlignment="1" pivotButton="0" quotePrefix="0" xfId="0">
      <alignment horizontal="left" vertical="top" wrapText="1" indent="1"/>
    </xf>
    <xf numFmtId="175" fontId="7" fillId="0" borderId="3" pivotButton="0" quotePrefix="0" xfId="0"/>
    <xf numFmtId="175" fontId="7" fillId="4" borderId="3" pivotButton="0" quotePrefix="0" xfId="0"/>
    <xf numFmtId="176" fontId="7" fillId="0" borderId="3" pivotButton="0" quotePrefix="0" xfId="0"/>
    <xf numFmtId="176" fontId="7" fillId="4" borderId="3" pivotButton="0" quotePrefix="0" xfId="0"/>
    <xf numFmtId="166" fontId="14" fillId="0" borderId="0" pivotButton="0" quotePrefix="0" xfId="0"/>
    <xf numFmtId="0" fontId="4" fillId="0" borderId="0" pivotButton="0" quotePrefix="0" xfId="0"/>
    <xf numFmtId="169" fontId="13" fillId="0" borderId="0" pivotButton="0" quotePrefix="0" xfId="0"/>
    <xf numFmtId="177" fontId="3" fillId="3" borderId="8" applyAlignment="1" pivotButton="0" quotePrefix="0" xfId="0">
      <alignment horizontal="left" vertical="center" indent="1"/>
    </xf>
    <xf numFmtId="174" fontId="3" fillId="3" borderId="6" applyAlignment="1" pivotButton="0" quotePrefix="0" xfId="0">
      <alignment horizontal="left" vertical="center" indent="1"/>
    </xf>
    <xf numFmtId="49" fontId="3" fillId="3" borderId="4" applyAlignment="1" pivotButton="0" quotePrefix="0" xfId="0">
      <alignment horizontal="left" vertical="center" indent="1"/>
    </xf>
    <xf numFmtId="0" fontId="4" fillId="3" borderId="8" applyAlignment="1" pivotButton="0" quotePrefix="0" xfId="0">
      <alignment horizontal="left" vertical="top" wrapText="1" inden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dxfs count="6">
    <dxf>
      <fill>
        <patternFill patternType="solid">
          <fgColor rgb="00F8D9D6"/>
        </patternFill>
      </fill>
    </dxf>
    <dxf>
      <fill>
        <patternFill patternType="solid">
          <fgColor rgb="00D7EEE0"/>
        </patternFill>
      </fill>
    </dxf>
    <dxf>
      <fill>
        <patternFill patternType="solid">
          <fgColor rgb="00E9F5EC"/>
        </patternFill>
      </fill>
    </dxf>
    <dxf>
      <fill>
        <patternFill patternType="solid">
          <fgColor rgb="00FFF6DD"/>
        </patternFill>
      </fill>
    </dxf>
    <dxf>
      <fill>
        <patternFill patternType="solid">
          <fgColor rgb="00EEF2F6"/>
        </patternFill>
      </fill>
    </dxf>
    <dxf>
      <fill>
        <patternFill patternType="solid">
          <fgColor rgb="00E3EE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per day vs peak day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'Master Data &amp; Assumptions'!H8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'Master Data &amp; Assumptions'!$C$9:$C$13</f>
            </numRef>
          </cat>
          <val>
            <numRef>
              <f>'Master Data &amp; Assumptions'!$H$9:$H$13</f>
            </numRef>
          </val>
        </ser>
        <ser>
          <idx val="1"/>
          <order val="1"/>
          <tx>
            <strRef>
              <f>'Master Data &amp; Assumptions'!I8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'Master Data &amp; Assumptions'!$C$9:$C$13</f>
            </numRef>
          </cat>
          <val>
            <numRef>
              <f>'Master Data &amp; Assumptions'!$I$9:$I$13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fleet by city and vehicle type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'Depot &amp; Vehicle Master'!C33</f>
            </strRef>
          </tx>
          <spPr>
            <a:solidFill xmlns:a="http://schemas.openxmlformats.org/drawingml/2006/main">
              <a:srgbClr val="1F2A44"/>
            </a:solidFill>
            <a:ln xmlns:a="http://schemas.openxmlformats.org/drawingml/2006/main">
              <a:solidFill>
                <a:srgbClr val="1F2A44"/>
              </a:solidFill>
              <a:prstDash val="solid"/>
            </a:ln>
          </spPr>
          <cat>
            <numRef>
              <f>'Depot &amp; Vehicle Master'!$B$34:$B$38</f>
            </numRef>
          </cat>
          <val>
            <numRef>
              <f>'Depot &amp; Vehicle Master'!$C$34:$C$38</f>
            </numRef>
          </val>
        </ser>
        <ser>
          <idx val="1"/>
          <order val="1"/>
          <tx>
            <strRef>
              <f>'Depot &amp; Vehicle Master'!D33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'Depot &amp; Vehicle Master'!$B$34:$B$38</f>
            </numRef>
          </cat>
          <val>
            <numRef>
              <f>'Depot &amp; Vehicle Master'!$D$34:$D$38</f>
            </numRef>
          </val>
        </ser>
        <ser>
          <idx val="2"/>
          <order val="2"/>
          <tx>
            <strRef>
              <f>'Depot &amp; Vehicle Master'!E33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'Depot &amp; Vehicle Master'!$B$34:$B$38</f>
            </numRef>
          </cat>
          <val>
            <numRef>
              <f>'Depot &amp; Vehicle Master'!$E$34:$E$38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vs fixed cost by vehicle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'Depot &amp; Vehicle Master'!F25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'Depot &amp; Vehicle Master'!$B$26:$B$28</f>
            </numRef>
          </cat>
          <val>
            <numRef>
              <f>'Depot &amp; Vehicle Master'!$F$26:$F$28</f>
            </numRef>
          </val>
        </ser>
        <ser>
          <idx val="1"/>
          <order val="1"/>
          <tx>
            <strRef>
              <f>'Depot &amp; Vehicle Master'!G25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'Depot &amp; Vehicle Master'!$B$26:$B$28</f>
            </numRef>
          </cat>
          <val>
            <numRef>
              <f>'Depot &amp; Vehicle Master'!$G$26:$G$28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orders by city: festive sale, Navratri, Diwali peak and holidays</a:t>
            </a:r>
          </a:p>
        </rich>
      </tx>
    </title>
    <plotArea>
      <lineChart>
        <grouping val="standard"/>
        <ser>
          <idx val="0"/>
          <order val="0"/>
          <tx>
            <strRef>
              <f>'Order &amp; Demand Profile'!C8</f>
            </strRef>
          </tx>
          <spPr>
            <a:ln xmlns:a="http://schemas.openxmlformats.org/drawingml/2006/main" w="22000">
              <a:solidFill>
                <a:srgbClr val="1F2A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'Order &amp; Demand Profile'!$B$9:$B$98</f>
            </numRef>
          </cat>
          <val>
            <numRef>
              <f>'Order &amp; Demand Profile'!$C$9:$C$98</f>
            </numRef>
          </val>
          <smooth val="0"/>
        </ser>
        <ser>
          <idx val="1"/>
          <order val="1"/>
          <tx>
            <strRef>
              <f>'Order &amp; Demand Profile'!D8</f>
            </strRef>
          </tx>
          <spPr>
            <a:ln xmlns:a="http://schemas.openxmlformats.org/drawingml/2006/main" w="22000">
              <a:solidFill>
                <a:srgbClr val="0E7C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'Order &amp; Demand Profile'!$B$9:$B$98</f>
            </numRef>
          </cat>
          <val>
            <numRef>
              <f>'Order &amp; Demand Profile'!$D$9:$D$98</f>
            </numRef>
          </val>
          <smooth val="0"/>
        </ser>
        <ser>
          <idx val="2"/>
          <order val="2"/>
          <tx>
            <strRef>
              <f>'Order &amp; Demand Profile'!E8</f>
            </strRef>
          </tx>
          <spPr>
            <a:ln xmlns:a="http://schemas.openxmlformats.org/drawingml/2006/main" w="22000">
              <a:solidFill>
                <a:srgbClr val="E3A21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'Order &amp; Demand Profile'!$B$9:$B$98</f>
            </numRef>
          </cat>
          <val>
            <numRef>
              <f>'Order &amp; Demand Profile'!$E$9:$E$98</f>
            </numRef>
          </val>
          <smooth val="0"/>
        </ser>
        <ser>
          <idx val="3"/>
          <order val="3"/>
          <tx>
            <strRef>
              <f>'Order &amp; Demand Profile'!F8</f>
            </strRef>
          </tx>
          <spPr>
            <a:ln xmlns:a="http://schemas.openxmlformats.org/drawingml/2006/main" w="22000">
              <a:solidFill>
                <a:srgbClr val="8E5A9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'Order &amp; Demand Profile'!$B$9:$B$98</f>
            </numRef>
          </cat>
          <val>
            <numRef>
              <f>'Order &amp; Demand Profile'!$F$9:$F$98</f>
            </numRef>
          </val>
          <smooth val="0"/>
        </ser>
        <ser>
          <idx val="4"/>
          <order val="4"/>
          <tx>
            <strRef>
              <f>'Order &amp; Demand Profile'!G8</f>
            </strRef>
          </tx>
          <spPr>
            <a:ln xmlns:a="http://schemas.openxmlformats.org/drawingml/2006/main" w="22000">
              <a:solidFill>
                <a:srgbClr val="C241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'Order &amp; Demand Profile'!$B$9:$B$98</f>
            </numRef>
          </cat>
          <val>
            <numRef>
              <f>'Order &amp; Demand Profile'!$G$9:$G$98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orders/day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Segment mix by city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'Order &amp; Demand Profile'!L39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'Order &amp; Demand Profile'!$K$40:$K$44</f>
            </numRef>
          </cat>
          <val>
            <numRef>
              <f>'Order &amp; Demand Profile'!$L$40:$L$44</f>
            </numRef>
          </val>
        </ser>
        <ser>
          <idx val="1"/>
          <order val="1"/>
          <tx>
            <strRef>
              <f>'Order &amp; Demand Profile'!M39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'Order &amp; Demand Profile'!$K$40:$K$44</f>
            </numRef>
          </cat>
          <val>
            <numRef>
              <f>'Order &amp; Demand Profile'!$M$40:$M$44</f>
            </numRef>
          </val>
        </ser>
        <ser>
          <idx val="2"/>
          <order val="2"/>
          <tx>
            <strRef>
              <f>'Order &amp; Demand Profile'!N39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'Order &amp; Demand Profile'!$K$40:$K$44</f>
            </numRef>
          </cat>
          <val>
            <numRef>
              <f>'Order &amp; Demand Profile'!$N$40:$N$44</f>
            </numRef>
          </val>
        </ser>
        <ser>
          <idx val="3"/>
          <order val="3"/>
          <tx>
            <strRef>
              <f>'Order &amp; Demand Profile'!O39</f>
            </strRef>
          </tx>
          <spPr>
            <a:solidFill xmlns:a="http://schemas.openxmlformats.org/drawingml/2006/main">
              <a:srgbClr val="3C8D5A"/>
            </a:solidFill>
            <a:ln xmlns:a="http://schemas.openxmlformats.org/drawingml/2006/main">
              <a:solidFill>
                <a:srgbClr val="3C8D5A"/>
              </a:solidFill>
              <a:prstDash val="solid"/>
            </a:ln>
          </spPr>
          <cat>
            <numRef>
              <f>'Order &amp; Demand Profile'!$K$40:$K$44</f>
            </numRef>
          </cat>
          <val>
            <numRef>
              <f>'Order &amp; Demand Profile'!$O$40:$O$44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last-mile cost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'Routing Analysis'!D8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Analysis'!$D$9:$D$13</f>
            </numRef>
          </val>
        </ser>
        <ser>
          <idx val="1"/>
          <order val="1"/>
          <tx>
            <strRef>
              <f>'Routing Analysis'!E8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Analysis'!$E$9:$E$13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per day</a:t>
                </a:r>
              </a:p>
            </rich>
          </tx>
        </title>
        <numFmt formatCode="&quot;₹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Time-window compliance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'Routing Analysis'!J8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Analysis'!$J$9:$J$13</f>
            </numRef>
          </val>
        </ser>
        <ser>
          <idx val="1"/>
          <order val="1"/>
          <tx>
            <strRef>
              <f>'Routing Analysis'!K8</f>
            </strRef>
          </tx>
          <spPr>
            <a:solidFill xmlns:a="http://schemas.openxmlformats.org/drawingml/2006/main">
              <a:srgbClr val="3C8D5A"/>
            </a:solidFill>
            <a:ln xmlns:a="http://schemas.openxmlformats.org/drawingml/2006/main">
              <a:solidFill>
                <a:srgbClr val="3C8D5A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Analysis'!$K$9:$K$13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Vehicles used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'Routing Analysis'!L8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Analysis'!$L$9:$L$13</f>
            </numRef>
          </val>
        </ser>
        <ser>
          <idx val="1"/>
          <order val="1"/>
          <tx>
            <strRef>
              <f>'Routing Analysis'!M8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Analysis'!$M$9:$M$13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road km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'Routing Analysis'!P8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Analysis'!$P$9:$P$13</f>
            </numRef>
          </val>
        </ser>
        <ser>
          <idx val="1"/>
          <order val="1"/>
          <tx>
            <strRef>
              <f>'Routing Analysis'!Q8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Analysis'!$Q$9:$Q$13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rate by zone: baseline vs optimized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'Route Stops &amp; Compliance'!E5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'Route Stops &amp; Compliance'!$C$6:$C$30</f>
            </numRef>
          </cat>
          <val>
            <numRef>
              <f>'Route Stops &amp; Compliance'!$E$6:$E$30</f>
            </numRef>
          </val>
        </ser>
        <ser>
          <idx val="1"/>
          <order val="1"/>
          <tx>
            <strRef>
              <f>'Route Stops &amp; Compliance'!F5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'Route Stops &amp; Compliance'!$C$6:$C$30</f>
            </numRef>
          </cat>
          <val>
            <numRef>
              <f>'Route Stops &amp; Compliance'!$F$6:$F$30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Fleet size needed vs demand level</a:t>
            </a:r>
          </a:p>
        </rich>
      </tx>
    </title>
    <plotArea>
      <lineChart>
        <grouping val="standard"/>
        <ser>
          <idx val="0"/>
          <order val="0"/>
          <tx>
            <strRef>
              <f>'Fleet Sizing'!C8</f>
            </strRef>
          </tx>
          <spPr>
            <a:ln xmlns:a="http://schemas.openxmlformats.org/drawingml/2006/main" w="22000">
              <a:solidFill>
                <a:srgbClr val="0E7C8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E7C86"/>
              </a:solidFill>
              <a:ln xmlns:a="http://schemas.openxmlformats.org/drawingml/2006/main">
                <a:solidFill>
                  <a:srgbClr val="0E7C86"/>
                </a:solidFill>
                <a:prstDash val="solid"/>
              </a:ln>
            </spPr>
          </marker>
          <cat>
            <numRef>
              <f>'Fleet Sizing'!$B$9:$B$14</f>
            </numRef>
          </cat>
          <val>
            <numRef>
              <f>'Fleet Sizing'!$C$9:$C$14</f>
            </numRef>
          </val>
          <smooth val="0"/>
        </ser>
        <ser>
          <idx val="1"/>
          <order val="1"/>
          <tx>
            <strRef>
              <f>'Fleet Sizing'!D8</f>
            </strRef>
          </tx>
          <spPr>
            <a:ln xmlns:a="http://schemas.openxmlformats.org/drawingml/2006/main" w="22000">
              <a:solidFill>
                <a:srgbClr val="E3A21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3A21A"/>
              </a:solidFill>
              <a:ln xmlns:a="http://schemas.openxmlformats.org/drawingml/2006/main">
                <a:solidFill>
                  <a:srgbClr val="E3A21A"/>
                </a:solidFill>
                <a:prstDash val="solid"/>
              </a:ln>
            </spPr>
          </marker>
          <cat>
            <numRef>
              <f>'Fleet Sizing'!$B$9:$B$14</f>
            </numRef>
          </cat>
          <val>
            <numRef>
              <f>'Fleet Sizing'!$D$9:$D$14</f>
            </numRef>
          </val>
          <smooth val="0"/>
        </ser>
        <ser>
          <idx val="2"/>
          <order val="2"/>
          <tx>
            <strRef>
              <f>'Fleet Sizing'!E8</f>
            </strRef>
          </tx>
          <spPr>
            <a:ln xmlns:a="http://schemas.openxmlformats.org/drawingml/2006/main" w="22000">
              <a:solidFill>
                <a:srgbClr val="6B7A9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B7A90"/>
              </a:solidFill>
              <a:ln xmlns:a="http://schemas.openxmlformats.org/drawingml/2006/main">
                <a:solidFill>
                  <a:srgbClr val="6B7A90"/>
                </a:solidFill>
                <a:prstDash val="solid"/>
              </a:ln>
            </spPr>
          </marker>
          <cat>
            <numRef>
              <f>'Fleet Sizing'!$B$9:$B$14</f>
            </numRef>
          </cat>
          <val>
            <numRef>
              <f>'Fleet Sizing'!$E$9:$E$14</f>
            </numRef>
          </val>
          <smooth val="0"/>
        </ser>
        <ser>
          <idx val="3"/>
          <order val="3"/>
          <tx>
            <strRef>
              <f>'Fleet Sizing'!F8</f>
            </strRef>
          </tx>
          <spPr>
            <a:ln xmlns:a="http://schemas.openxmlformats.org/drawingml/2006/main" w="22000">
              <a:solidFill>
                <a:srgbClr val="3C8D5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3C8D5A"/>
              </a:solidFill>
              <a:ln xmlns:a="http://schemas.openxmlformats.org/drawingml/2006/main">
                <a:solidFill>
                  <a:srgbClr val="3C8D5A"/>
                </a:solidFill>
                <a:prstDash val="solid"/>
              </a:ln>
            </spPr>
          </marker>
          <cat>
            <numRef>
              <f>'Fleet Sizing'!$B$9:$B$14</f>
            </numRef>
          </cat>
          <val>
            <numRef>
              <f>'Fleet Sizing'!$F$9:$F$14</f>
            </numRef>
          </val>
          <smooth val="0"/>
        </ser>
        <ser>
          <idx val="4"/>
          <order val="4"/>
          <tx>
            <strRef>
              <f>'Fleet Sizing'!G8</f>
            </strRef>
          </tx>
          <spPr>
            <a:ln xmlns:a="http://schemas.openxmlformats.org/drawingml/2006/main" w="22000">
              <a:solidFill>
                <a:srgbClr val="8E5A9B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E5A9B"/>
              </a:solidFill>
              <a:ln xmlns:a="http://schemas.openxmlformats.org/drawingml/2006/main">
                <a:solidFill>
                  <a:srgbClr val="8E5A9B"/>
                </a:solidFill>
                <a:prstDash val="solid"/>
              </a:ln>
            </spPr>
          </marker>
          <cat>
            <numRef>
              <f>'Fleet Sizing'!$B$9:$B$14</f>
            </numRef>
          </cat>
          <val>
            <numRef>
              <f>'Fleet Sizing'!$G$9:$G$14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demand multiplier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fleet compliance falls as demand rises</a:t>
            </a:r>
          </a:p>
        </rich>
      </tx>
    </title>
    <plotArea>
      <lineChart>
        <grouping val="standard"/>
        <ser>
          <idx val="0"/>
          <order val="0"/>
          <tx>
            <strRef>
              <f>'Fleet Sizing'!C18</f>
            </strRef>
          </tx>
          <spPr>
            <a:ln xmlns:a="http://schemas.openxmlformats.org/drawingml/2006/main" w="22000">
              <a:solidFill>
                <a:srgbClr val="1F2A4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2A44"/>
              </a:solidFill>
              <a:ln xmlns:a="http://schemas.openxmlformats.org/drawingml/2006/main">
                <a:solidFill>
                  <a:srgbClr val="1F2A44"/>
                </a:solidFill>
                <a:prstDash val="solid"/>
              </a:ln>
            </spPr>
          </marker>
          <cat>
            <numRef>
              <f>'Fleet Sizing'!$B$19:$B$24</f>
            </numRef>
          </cat>
          <val>
            <numRef>
              <f>'Fleet Sizing'!$C$19:$C$24</f>
            </numRef>
          </val>
          <smooth val="0"/>
        </ser>
        <ser>
          <idx val="1"/>
          <order val="1"/>
          <tx>
            <strRef>
              <f>'Fleet Sizing'!D18</f>
            </strRef>
          </tx>
          <spPr>
            <a:ln xmlns:a="http://schemas.openxmlformats.org/drawingml/2006/main" w="22000">
              <a:solidFill>
                <a:srgbClr val="0E7C8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E7C86"/>
              </a:solidFill>
              <a:ln xmlns:a="http://schemas.openxmlformats.org/drawingml/2006/main">
                <a:solidFill>
                  <a:srgbClr val="0E7C86"/>
                </a:solidFill>
                <a:prstDash val="solid"/>
              </a:ln>
            </spPr>
          </marker>
          <cat>
            <numRef>
              <f>'Fleet Sizing'!$B$19:$B$24</f>
            </numRef>
          </cat>
          <val>
            <numRef>
              <f>'Fleet Sizing'!$D$19:$D$24</f>
            </numRef>
          </val>
          <smooth val="0"/>
        </ser>
        <ser>
          <idx val="2"/>
          <order val="2"/>
          <tx>
            <strRef>
              <f>'Fleet Sizing'!E18</f>
            </strRef>
          </tx>
          <spPr>
            <a:ln xmlns:a="http://schemas.openxmlformats.org/drawingml/2006/main" w="22000">
              <a:solidFill>
                <a:srgbClr val="E3A21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3A21A"/>
              </a:solidFill>
              <a:ln xmlns:a="http://schemas.openxmlformats.org/drawingml/2006/main">
                <a:solidFill>
                  <a:srgbClr val="E3A21A"/>
                </a:solidFill>
                <a:prstDash val="solid"/>
              </a:ln>
            </spPr>
          </marker>
          <cat>
            <numRef>
              <f>'Fleet Sizing'!$B$19:$B$24</f>
            </numRef>
          </cat>
          <val>
            <numRef>
              <f>'Fleet Sizing'!$E$19:$E$24</f>
            </numRef>
          </val>
          <smooth val="0"/>
        </ser>
        <ser>
          <idx val="3"/>
          <order val="3"/>
          <tx>
            <strRef>
              <f>'Fleet Sizing'!F18</f>
            </strRef>
          </tx>
          <spPr>
            <a:ln xmlns:a="http://schemas.openxmlformats.org/drawingml/2006/main" w="22000">
              <a:solidFill>
                <a:srgbClr val="8E5A9B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E5A9B"/>
              </a:solidFill>
              <a:ln xmlns:a="http://schemas.openxmlformats.org/drawingml/2006/main">
                <a:solidFill>
                  <a:srgbClr val="8E5A9B"/>
                </a:solidFill>
                <a:prstDash val="solid"/>
              </a:ln>
            </spPr>
          </marker>
          <cat>
            <numRef>
              <f>'Fleet Sizing'!$B$19:$B$24</f>
            </numRef>
          </cat>
          <val>
            <numRef>
              <f>'Fleet Sizing'!$F$19:$F$24</f>
            </numRef>
          </val>
          <smooth val="0"/>
        </ser>
        <ser>
          <idx val="4"/>
          <order val="4"/>
          <tx>
            <strRef>
              <f>'Fleet Sizing'!G18</f>
            </strRef>
          </tx>
          <spPr>
            <a:ln xmlns:a="http://schemas.openxmlformats.org/drawingml/2006/main" w="22000">
              <a:solidFill>
                <a:srgbClr val="C2413B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C2413B"/>
              </a:solidFill>
              <a:ln xmlns:a="http://schemas.openxmlformats.org/drawingml/2006/main">
                <a:solidFill>
                  <a:srgbClr val="C2413B"/>
                </a:solidFill>
                <a:prstDash val="solid"/>
              </a:ln>
            </spPr>
          </marker>
          <cat>
            <numRef>
              <f>'Fleet Sizing'!$B$19:$B$24</f>
            </numRef>
          </cat>
          <val>
            <numRef>
              <f>'Fleet Sizing'!$G$19:$G$24</f>
            </numRef>
          </val>
          <smooth val="0"/>
        </ser>
        <ser>
          <idx val="5"/>
          <order val="5"/>
          <tx>
            <strRef>
              <f>'Fleet Sizing'!H18</f>
            </strRef>
          </tx>
          <spPr>
            <a:ln xmlns:a="http://schemas.openxmlformats.org/drawingml/2006/main" w="22000">
              <a:solidFill>
                <a:srgbClr val="6B7A90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6B7A90"/>
              </a:solidFill>
              <a:ln xmlns:a="http://schemas.openxmlformats.org/drawingml/2006/main">
                <a:solidFill>
                  <a:srgbClr val="6B7A90"/>
                </a:solidFill>
                <a:prstDash val="solid"/>
              </a:ln>
            </spPr>
          </marker>
          <cat>
            <numRef>
              <f>'Fleet Sizing'!$B$19:$B$24</f>
            </numRef>
          </cat>
          <val>
            <numRef>
              <f>'Fleet Sizing'!$H$19:$H$24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demand multiplier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in-window 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ownership TCO composition by city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'Fleet Sizing'!C69</f>
            </strRef>
          </tx>
          <spPr>
            <a:solidFill xmlns:a="http://schemas.openxmlformats.org/drawingml/2006/main">
              <a:srgbClr val="1F2A44"/>
            </a:solidFill>
            <a:ln xmlns:a="http://schemas.openxmlformats.org/drawingml/2006/main">
              <a:solidFill>
                <a:srgbClr val="1F2A44"/>
              </a:solidFill>
              <a:prstDash val="solid"/>
            </a:ln>
          </spPr>
          <cat>
            <numRef>
              <f>'Fleet Sizing'!$B$70:$B$74</f>
            </numRef>
          </cat>
          <val>
            <numRef>
              <f>'Fleet Sizing'!$C$70:$C$74</f>
            </numRef>
          </val>
        </ser>
        <ser>
          <idx val="1"/>
          <order val="1"/>
          <tx>
            <strRef>
              <f>'Fleet Sizing'!D69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'Fleet Sizing'!$B$70:$B$74</f>
            </numRef>
          </cat>
          <val>
            <numRef>
              <f>'Fleet Sizing'!$D$70:$D$74</f>
            </numRef>
          </val>
        </ser>
        <ser>
          <idx val="2"/>
          <order val="2"/>
          <tx>
            <strRef>
              <f>'Fleet Sizing'!E69</f>
            </strRef>
          </tx>
          <spPr>
            <a:solidFill xmlns:a="http://schemas.openxmlformats.org/drawingml/2006/main">
              <a:srgbClr val="8E5A9B"/>
            </a:solidFill>
            <a:ln xmlns:a="http://schemas.openxmlformats.org/drawingml/2006/main">
              <a:solidFill>
                <a:srgbClr val="8E5A9B"/>
              </a:solidFill>
              <a:prstDash val="solid"/>
            </a:ln>
          </spPr>
          <cat>
            <numRef>
              <f>'Fleet Sizing'!$B$70:$B$74</f>
            </numRef>
          </cat>
          <val>
            <numRef>
              <f>'Fleet Sizing'!$E$70:$E$74</f>
            </numRef>
          </val>
        </ser>
        <ser>
          <idx val="3"/>
          <order val="3"/>
          <tx>
            <strRef>
              <f>'Fleet Sizing'!F69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'Fleet Sizing'!$B$70:$B$74</f>
            </numRef>
          </cat>
          <val>
            <numRef>
              <f>'Fleet Sizing'!$F$70:$F$74</f>
            </numRef>
          </val>
        </ser>
        <ser>
          <idx val="4"/>
          <order val="4"/>
          <tx>
            <strRef>
              <f>'Fleet Sizing'!G69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'Fleet Sizing'!$B$70:$B$74</f>
            </numRef>
          </cat>
          <val>
            <numRef>
              <f>'Fleet Sizing'!$G$70:$G$74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/ year</a:t>
                </a:r>
              </a:p>
            </rich>
          </tx>
        </title>
        <numFmt formatCode="&quot;₹&quot;#,##0,,&quot;M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 vs lease (annual TCO)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'Fleet Sizing'!H69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'Fleet Sizing'!$B$70:$B$74</f>
            </numRef>
          </cat>
          <val>
            <numRef>
              <f>'Fleet Sizing'!$H$70:$H$74</f>
            </numRef>
          </val>
        </ser>
        <ser>
          <idx val="1"/>
          <order val="1"/>
          <tx>
            <strRef>
              <f>'Fleet Sizing'!I69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'Fleet Sizing'!$B$70:$B$74</f>
            </numRef>
          </cat>
          <val>
            <numRef>
              <f>'Fleet Sizing'!$I$70:$I$74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/ year</a:t>
                </a:r>
              </a:p>
            </rich>
          </tx>
        </title>
        <numFmt formatCode="&quot;₹&quot;#,##0,,&quot;M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Picks per hour: current, optimized, bound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'Warehouse Performance'!H5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'Warehouse Performance'!$B$6:$B$10</f>
            </numRef>
          </cat>
          <val>
            <numRef>
              <f>'Warehouse Performance'!$H$6:$H$10</f>
            </numRef>
          </val>
        </ser>
        <ser>
          <idx val="1"/>
          <order val="1"/>
          <tx>
            <strRef>
              <f>'Warehouse Performance'!I5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'Warehouse Performance'!$B$6:$B$10</f>
            </numRef>
          </cat>
          <val>
            <numRef>
              <f>'Warehouse Performance'!$I$6:$I$10</f>
            </numRef>
          </val>
        </ser>
        <ser>
          <idx val="2"/>
          <order val="2"/>
          <tx>
            <strRef>
              <f>'Warehouse Performance'!J5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'Warehouse Performance'!$B$6:$B$10</f>
            </numRef>
          </cat>
          <val>
            <numRef>
              <f>'Warehouse Performance'!$J$6:$J$10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picks/h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Walking metres per pick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'Warehouse Performance'!D5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'Warehouse Performance'!$B$6:$B$10</f>
            </numRef>
          </cat>
          <val>
            <numRef>
              <f>'Warehouse Performance'!$D$6:$D$10</f>
            </numRef>
          </val>
        </ser>
        <ser>
          <idx val="1"/>
          <order val="1"/>
          <tx>
            <strRef>
              <f>'Warehouse Performance'!E5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'Warehouse Performance'!$B$6:$B$10</f>
            </numRef>
          </cat>
          <val>
            <numRef>
              <f>'Warehouse Performance'!$E$6:$E$10</f>
            </numRef>
          </val>
        </ser>
        <ser>
          <idx val="2"/>
          <order val="2"/>
          <tx>
            <strRef>
              <f>'Warehouse Performance'!F5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'Warehouse Performance'!$B$6:$B$10</f>
            </numRef>
          </cat>
          <val>
            <numRef>
              <f>'Warehouse Performance'!$F$6:$F$10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m/line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Pick share by zone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'Warehouse Performance'!C35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'Warehouse Performance'!$B$36:$B$40</f>
            </numRef>
          </cat>
          <val>
            <numRef>
              <f>'Warehouse Performance'!$C$36:$C$40</f>
            </numRef>
          </val>
        </ser>
        <ser>
          <idx val="1"/>
          <order val="1"/>
          <tx>
            <strRef>
              <f>'Warehouse Performance'!D35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'Warehouse Performance'!$B$36:$B$40</f>
            </numRef>
          </cat>
          <val>
            <numRef>
              <f>'Warehouse Performance'!$D$36:$D$40</f>
            </numRef>
          </val>
        </ser>
        <ser>
          <idx val="2"/>
          <order val="2"/>
          <tx>
            <strRef>
              <f>'Warehouse Performance'!E35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'Warehouse Performance'!$B$36:$B$40</f>
            </numRef>
          </cat>
          <val>
            <numRef>
              <f>'Warehouse Performance'!$E$36:$E$40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P95 cycle time vs 2-hour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 Results'!C5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prstDash val="solid"/>
            </a:ln>
          </spPr>
          <cat>
            <numRef>
              <f>'Simulation Results'!$B$6:$B$10</f>
            </numRef>
          </cat>
          <val>
            <numRef>
              <f>'Simulation Results'!$C$6:$C$10</f>
            </numRef>
          </val>
        </ser>
        <ser>
          <idx val="1"/>
          <order val="1"/>
          <tx>
            <strRef>
              <f>'Simulation Results'!D5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prstDash val="solid"/>
            </a:ln>
          </spPr>
          <cat>
            <numRef>
              <f>'Simulation Results'!$B$6:$B$10</f>
            </numRef>
          </cat>
          <val>
            <numRef>
              <f>'Simulation Results'!$D$6:$D$10</f>
            </numRef>
          </val>
        </ser>
        <ser>
          <idx val="2"/>
          <order val="2"/>
          <tx>
            <strRef>
              <f>'Simulation Results'!E5</f>
            </strRef>
          </tx>
          <spPr>
            <a:solidFill xmlns:a="http://schemas.openxmlformats.org/drawingml/2006/main">
              <a:srgbClr val="C2413B"/>
            </a:solidFill>
            <a:ln xmlns:a="http://schemas.openxmlformats.org/drawingml/2006/main">
              <a:prstDash val="solid"/>
            </a:ln>
          </spPr>
          <cat>
            <numRef>
              <f>'Simulation Results'!$B$6:$B$10</f>
            </numRef>
          </cat>
          <val>
            <numRef>
              <f>'Simulation Results'!$E$6:$E$10</f>
            </numRef>
          </val>
        </ser>
        <ser>
          <idx val="3"/>
          <order val="3"/>
          <tx>
            <strRef>
              <f>'Simulation Results'!F5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prstDash val="solid"/>
            </a:ln>
          </spPr>
          <cat>
            <numRef>
              <f>'Simulation Results'!$B$6:$B$10</f>
            </numRef>
          </cat>
          <val>
            <numRef>
              <f>'Simulation Results'!$F$6:$F$10</f>
            </numRef>
          </val>
        </ser>
        <gapWidth val="150"/>
        <axId val="10"/>
        <axId val="100"/>
      </barChart>
      <lineChart>
        <grouping val="standard"/>
        <ser>
          <idx val="4"/>
          <order val="4"/>
          <tx>
            <strRef>
              <f>'Simulation Results'!G5</f>
            </strRef>
          </tx>
          <spPr>
            <a:ln xmlns:a="http://schemas.openxmlformats.org/drawingml/2006/main">
              <a:solidFill>
                <a:srgbClr val="1F2A4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 Results'!$G$6:$G$10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Mumbai: cycle-time distribution by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 Results'!C49</f>
            </strRef>
          </tx>
          <spPr>
            <a:ln xmlns:a="http://schemas.openxmlformats.org/drawingml/2006/main" w="22000">
              <a:solidFill>
                <a:srgbClr val="6B7A9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'Simulation Results'!$B$50:$B$97</f>
            </numRef>
          </cat>
          <val>
            <numRef>
              <f>'Simulation Results'!$C$50:$C$97</f>
            </numRef>
          </val>
          <smooth val="0"/>
        </ser>
        <ser>
          <idx val="1"/>
          <order val="1"/>
          <tx>
            <strRef>
              <f>'Simulation Results'!D49</f>
            </strRef>
          </tx>
          <spPr>
            <a:ln xmlns:a="http://schemas.openxmlformats.org/drawingml/2006/main" w="22000">
              <a:solidFill>
                <a:srgbClr val="0E7C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'Simulation Results'!$B$50:$B$97</f>
            </numRef>
          </cat>
          <val>
            <numRef>
              <f>'Simulation Results'!$D$50:$D$97</f>
            </numRef>
          </val>
          <smooth val="0"/>
        </ser>
        <ser>
          <idx val="2"/>
          <order val="2"/>
          <tx>
            <strRef>
              <f>'Simulation Results'!E49</f>
            </strRef>
          </tx>
          <spPr>
            <a:ln xmlns:a="http://schemas.openxmlformats.org/drawingml/2006/main" w="22000">
              <a:solidFill>
                <a:srgbClr val="C241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'Simulation Results'!$B$50:$B$97</f>
            </numRef>
          </cat>
          <val>
            <numRef>
              <f>'Simulation Results'!$E$50:$E$97</f>
            </numRef>
          </val>
          <smooth val="0"/>
        </ser>
        <ser>
          <idx val="3"/>
          <order val="3"/>
          <tx>
            <strRef>
              <f>'Simulation Results'!F49</f>
            </strRef>
          </tx>
          <spPr>
            <a:ln xmlns:a="http://schemas.openxmlformats.org/drawingml/2006/main" w="22000">
              <a:solidFill>
                <a:srgbClr val="E3A21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'Simulation Results'!$B$50:$B$97</f>
            </numRef>
          </cat>
          <val>
            <numRef>
              <f>'Simulation Results'!$F$50:$F$97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(bin start)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last-mile km per parcel vs number of new MFCs</a:t>
            </a:r>
          </a:p>
        </rich>
      </tx>
    </title>
    <plotArea>
      <lineChart>
        <grouping val="standard"/>
        <ser>
          <idx val="0"/>
          <order val="0"/>
          <tx>
            <strRef>
              <f>'Network Design'!C14</f>
            </strRef>
          </tx>
          <spPr>
            <a:ln xmlns:a="http://schemas.openxmlformats.org/drawingml/2006/main" w="22000">
              <a:solidFill>
                <a:srgbClr val="0E7C8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E7C86"/>
              </a:solidFill>
              <a:ln xmlns:a="http://schemas.openxmlformats.org/drawingml/2006/main">
                <a:solidFill>
                  <a:srgbClr val="0E7C86"/>
                </a:solidFill>
                <a:prstDash val="solid"/>
              </a:ln>
            </spPr>
          </marker>
          <cat>
            <numRef>
              <f>'Network Design'!$B$15:$B$20</f>
            </numRef>
          </cat>
          <val>
            <numRef>
              <f>'Network Design'!$C$15:$C$20</f>
            </numRef>
          </val>
          <smooth val="0"/>
        </ser>
        <ser>
          <idx val="1"/>
          <order val="1"/>
          <tx>
            <strRef>
              <f>'Network Design'!D14</f>
            </strRef>
          </tx>
          <spPr>
            <a:ln xmlns:a="http://schemas.openxmlformats.org/drawingml/2006/main" w="22000">
              <a:solidFill>
                <a:srgbClr val="E3A21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3A21A"/>
              </a:solidFill>
              <a:ln xmlns:a="http://schemas.openxmlformats.org/drawingml/2006/main">
                <a:solidFill>
                  <a:srgbClr val="E3A21A"/>
                </a:solidFill>
                <a:prstDash val="solid"/>
              </a:ln>
            </spPr>
          </marker>
          <cat>
            <numRef>
              <f>'Network Design'!$B$15:$B$20</f>
            </numRef>
          </cat>
          <val>
            <numRef>
              <f>'Network Design'!$D$15:$D$20</f>
            </numRef>
          </val>
          <smooth val="0"/>
        </ser>
        <ser>
          <idx val="2"/>
          <order val="2"/>
          <tx>
            <strRef>
              <f>'Network Design'!E14</f>
            </strRef>
          </tx>
          <spPr>
            <a:ln xmlns:a="http://schemas.openxmlformats.org/drawingml/2006/main" w="22000">
              <a:solidFill>
                <a:srgbClr val="6B7A9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B7A90"/>
              </a:solidFill>
              <a:ln xmlns:a="http://schemas.openxmlformats.org/drawingml/2006/main">
                <a:solidFill>
                  <a:srgbClr val="6B7A90"/>
                </a:solidFill>
                <a:prstDash val="solid"/>
              </a:ln>
            </spPr>
          </marker>
          <cat>
            <numRef>
              <f>'Network Design'!$B$15:$B$20</f>
            </numRef>
          </cat>
          <val>
            <numRef>
              <f>'Network Design'!$E$15:$E$20</f>
            </numRef>
          </val>
          <smooth val="0"/>
        </ser>
        <ser>
          <idx val="3"/>
          <order val="3"/>
          <tx>
            <strRef>
              <f>'Network Design'!F14</f>
            </strRef>
          </tx>
          <spPr>
            <a:ln xmlns:a="http://schemas.openxmlformats.org/drawingml/2006/main" w="22000">
              <a:solidFill>
                <a:srgbClr val="3C8D5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3C8D5A"/>
              </a:solidFill>
              <a:ln xmlns:a="http://schemas.openxmlformats.org/drawingml/2006/main">
                <a:solidFill>
                  <a:srgbClr val="3C8D5A"/>
                </a:solidFill>
                <a:prstDash val="solid"/>
              </a:ln>
            </spPr>
          </marker>
          <cat>
            <numRef>
              <f>'Network Design'!$B$15:$B$20</f>
            </numRef>
          </cat>
          <val>
            <numRef>
              <f>'Network Design'!$F$15:$F$20</f>
            </numRef>
          </val>
          <smooth val="0"/>
        </ser>
        <ser>
          <idx val="4"/>
          <order val="4"/>
          <tx>
            <strRef>
              <f>'Network Design'!G14</f>
            </strRef>
          </tx>
          <spPr>
            <a:ln xmlns:a="http://schemas.openxmlformats.org/drawingml/2006/main" w="22000">
              <a:solidFill>
                <a:srgbClr val="8E5A9B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E5A9B"/>
              </a:solidFill>
              <a:ln xmlns:a="http://schemas.openxmlformats.org/drawingml/2006/main">
                <a:solidFill>
                  <a:srgbClr val="8E5A9B"/>
                </a:solidFill>
                <a:prstDash val="solid"/>
              </a:ln>
            </spPr>
          </marker>
          <cat>
            <numRef>
              <f>'Network Design'!$B$15:$B$20</f>
            </numRef>
          </cat>
          <val>
            <numRef>
              <f>'Network Design'!$G$15:$G$20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2-hour SLA coverage vs number of new MFCs</a:t>
            </a:r>
          </a:p>
        </rich>
      </tx>
    </title>
    <plotArea>
      <lineChart>
        <grouping val="standard"/>
        <ser>
          <idx val="0"/>
          <order val="0"/>
          <tx>
            <strRef>
              <f>'Network Design'!C31</f>
            </strRef>
          </tx>
          <spPr>
            <a:ln xmlns:a="http://schemas.openxmlformats.org/drawingml/2006/main" w="22000">
              <a:solidFill>
                <a:srgbClr val="0E7C8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E7C86"/>
              </a:solidFill>
              <a:ln xmlns:a="http://schemas.openxmlformats.org/drawingml/2006/main">
                <a:solidFill>
                  <a:srgbClr val="0E7C86"/>
                </a:solidFill>
                <a:prstDash val="solid"/>
              </a:ln>
            </spPr>
          </marker>
          <cat>
            <numRef>
              <f>'Network Design'!$B$32:$B$37</f>
            </numRef>
          </cat>
          <val>
            <numRef>
              <f>'Network Design'!$C$32:$C$37</f>
            </numRef>
          </val>
          <smooth val="0"/>
        </ser>
        <ser>
          <idx val="1"/>
          <order val="1"/>
          <tx>
            <strRef>
              <f>'Network Design'!D31</f>
            </strRef>
          </tx>
          <spPr>
            <a:ln xmlns:a="http://schemas.openxmlformats.org/drawingml/2006/main" w="22000">
              <a:solidFill>
                <a:srgbClr val="E3A21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3A21A"/>
              </a:solidFill>
              <a:ln xmlns:a="http://schemas.openxmlformats.org/drawingml/2006/main">
                <a:solidFill>
                  <a:srgbClr val="E3A21A"/>
                </a:solidFill>
                <a:prstDash val="solid"/>
              </a:ln>
            </spPr>
          </marker>
          <cat>
            <numRef>
              <f>'Network Design'!$B$32:$B$37</f>
            </numRef>
          </cat>
          <val>
            <numRef>
              <f>'Network Design'!$D$32:$D$37</f>
            </numRef>
          </val>
          <smooth val="0"/>
        </ser>
        <ser>
          <idx val="2"/>
          <order val="2"/>
          <tx>
            <strRef>
              <f>'Network Design'!E31</f>
            </strRef>
          </tx>
          <spPr>
            <a:ln xmlns:a="http://schemas.openxmlformats.org/drawingml/2006/main" w="22000">
              <a:solidFill>
                <a:srgbClr val="6B7A9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B7A90"/>
              </a:solidFill>
              <a:ln xmlns:a="http://schemas.openxmlformats.org/drawingml/2006/main">
                <a:solidFill>
                  <a:srgbClr val="6B7A90"/>
                </a:solidFill>
                <a:prstDash val="solid"/>
              </a:ln>
            </spPr>
          </marker>
          <cat>
            <numRef>
              <f>'Network Design'!$B$32:$B$37</f>
            </numRef>
          </cat>
          <val>
            <numRef>
              <f>'Network Design'!$E$32:$E$37</f>
            </numRef>
          </val>
          <smooth val="0"/>
        </ser>
        <ser>
          <idx val="3"/>
          <order val="3"/>
          <tx>
            <strRef>
              <f>'Network Design'!F31</f>
            </strRef>
          </tx>
          <spPr>
            <a:ln xmlns:a="http://schemas.openxmlformats.org/drawingml/2006/main" w="22000">
              <a:solidFill>
                <a:srgbClr val="3C8D5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3C8D5A"/>
              </a:solidFill>
              <a:ln xmlns:a="http://schemas.openxmlformats.org/drawingml/2006/main">
                <a:solidFill>
                  <a:srgbClr val="3C8D5A"/>
                </a:solidFill>
                <a:prstDash val="solid"/>
              </a:ln>
            </spPr>
          </marker>
          <cat>
            <numRef>
              <f>'Network Design'!$B$32:$B$37</f>
            </numRef>
          </cat>
          <val>
            <numRef>
              <f>'Network Design'!$F$32:$F$37</f>
            </numRef>
          </val>
          <smooth val="0"/>
        </ser>
        <ser>
          <idx val="4"/>
          <order val="4"/>
          <tx>
            <strRef>
              <f>'Network Design'!G31</f>
            </strRef>
          </tx>
          <spPr>
            <a:ln xmlns:a="http://schemas.openxmlformats.org/drawingml/2006/main" w="22000">
              <a:solidFill>
                <a:srgbClr val="8E5A9B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E5A9B"/>
              </a:solidFill>
              <a:ln xmlns:a="http://schemas.openxmlformats.org/drawingml/2006/main">
                <a:solidFill>
                  <a:srgbClr val="8E5A9B"/>
                </a:solidFill>
                <a:prstDash val="solid"/>
              </a:ln>
            </spPr>
          </marker>
          <cat>
            <numRef>
              <f>'Network Design'!$B$32:$B$37</f>
            </numRef>
          </cat>
          <val>
            <numRef>
              <f>'Network Design'!$G$32:$G$37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Five-year NPV vs number of new MFCs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'Network Design'!C48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'Network Design'!$B$50:$B$54</f>
            </numRef>
          </cat>
          <val>
            <numRef>
              <f>'Network Design'!$C$49:$C$54</f>
            </numRef>
          </val>
        </ser>
        <ser>
          <idx val="1"/>
          <order val="1"/>
          <tx>
            <strRef>
              <f>'Network Design'!D48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'Network Design'!$B$50:$B$54</f>
            </numRef>
          </cat>
          <val>
            <numRef>
              <f>'Network Design'!$D$49:$D$54</f>
            </numRef>
          </val>
        </ser>
        <ser>
          <idx val="2"/>
          <order val="2"/>
          <tx>
            <strRef>
              <f>'Network Design'!E48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'Network Design'!$B$50:$B$54</f>
            </numRef>
          </cat>
          <val>
            <numRef>
              <f>'Network Design'!$E$49:$E$54</f>
            </numRef>
          </val>
        </ser>
        <ser>
          <idx val="3"/>
          <order val="3"/>
          <tx>
            <strRef>
              <f>'Network Design'!F48</f>
            </strRef>
          </tx>
          <spPr>
            <a:solidFill xmlns:a="http://schemas.openxmlformats.org/drawingml/2006/main">
              <a:srgbClr val="3C8D5A"/>
            </a:solidFill>
            <a:ln xmlns:a="http://schemas.openxmlformats.org/drawingml/2006/main">
              <a:solidFill>
                <a:srgbClr val="3C8D5A"/>
              </a:solidFill>
              <a:prstDash val="solid"/>
            </a:ln>
          </spPr>
          <cat>
            <numRef>
              <f>'Network Design'!$B$50:$B$54</f>
            </numRef>
          </cat>
          <val>
            <numRef>
              <f>'Network Design'!$F$49:$F$54</f>
            </numRef>
          </val>
        </ser>
        <ser>
          <idx val="4"/>
          <order val="4"/>
          <tx>
            <strRef>
              <f>'Network Design'!G48</f>
            </strRef>
          </tx>
          <spPr>
            <a:solidFill xmlns:a="http://schemas.openxmlformats.org/drawingml/2006/main">
              <a:srgbClr val="8E5A9B"/>
            </a:solidFill>
            <a:ln xmlns:a="http://schemas.openxmlformats.org/drawingml/2006/main">
              <a:solidFill>
                <a:srgbClr val="8E5A9B"/>
              </a:solidFill>
              <a:prstDash val="solid"/>
            </a:ln>
          </spPr>
          <cat>
            <numRef>
              <f>'Network Design'!$B$50:$B$54</f>
            </numRef>
          </cat>
          <val>
            <numRef>
              <f>'Network Design'!$G$49:$G$54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numFmt formatCode="&quot;₹&quot;#,##0,,&quot;M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by year for each city's best configuration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'Facility Economics'!H7</f>
            </strRef>
          </tx>
          <spPr>
            <a:solidFill xmlns:a="http://schemas.openxmlformats.org/drawingml/2006/main">
              <a:srgbClr val="C2413B"/>
            </a:solidFill>
            <a:ln xmlns:a="http://schemas.openxmlformats.org/drawingml/2006/main">
              <a:prstDash val="solid"/>
            </a:ln>
          </spPr>
          <cat>
            <numRef>
              <f>'Facility Economics'!$B$8:$B$12</f>
            </numRef>
          </cat>
          <val>
            <numRef>
              <f>'Facility Economics'!$H$8:$H$12</f>
            </numRef>
          </val>
        </ser>
        <ser>
          <idx val="1"/>
          <order val="1"/>
          <tx>
            <strRef>
              <f>'Facility Economics'!I7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prstDash val="solid"/>
            </a:ln>
          </spPr>
          <cat>
            <numRef>
              <f>'Facility Economics'!$B$8:$B$12</f>
            </numRef>
          </cat>
          <val>
            <numRef>
              <f>'Facility Economics'!$I$8:$I$12</f>
            </numRef>
          </val>
        </ser>
        <ser>
          <idx val="2"/>
          <order val="2"/>
          <tx>
            <strRef>
              <f>'Facility Economics'!J7</f>
            </strRef>
          </tx>
          <spPr>
            <a:solidFill xmlns:a="http://schemas.openxmlformats.org/drawingml/2006/main">
              <a:srgbClr val="3C8D5A"/>
            </a:solidFill>
            <a:ln xmlns:a="http://schemas.openxmlformats.org/drawingml/2006/main">
              <a:prstDash val="solid"/>
            </a:ln>
          </spPr>
          <cat>
            <numRef>
              <f>'Facility Economics'!$B$8:$B$12</f>
            </numRef>
          </cat>
          <val>
            <numRef>
              <f>'Facility Economics'!$J$8:$J$12</f>
            </numRef>
          </val>
        </ser>
        <ser>
          <idx val="3"/>
          <order val="3"/>
          <tx>
            <strRef>
              <f>'Facility Economics'!K7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prstDash val="solid"/>
            </a:ln>
          </spPr>
          <cat>
            <numRef>
              <f>'Facility Economics'!$B$8:$B$12</f>
            </numRef>
          </cat>
          <val>
            <numRef>
              <f>'Facility Economics'!$K$8:$K$12</f>
            </numRef>
          </val>
        </ser>
        <ser>
          <idx val="4"/>
          <order val="4"/>
          <tx>
            <strRef>
              <f>'Facility Economics'!L7</f>
            </strRef>
          </tx>
          <spPr>
            <a:solidFill xmlns:a="http://schemas.openxmlformats.org/drawingml/2006/main">
              <a:srgbClr val="8E5A9B"/>
            </a:solidFill>
            <a:ln xmlns:a="http://schemas.openxmlformats.org/drawingml/2006/main">
              <a:prstDash val="solid"/>
            </a:ln>
          </spPr>
          <cat>
            <numRef>
              <f>'Facility Economics'!$B$8:$B$12</f>
            </numRef>
          </cat>
          <val>
            <numRef>
              <f>'Facility Economics'!$L$8:$L$12</f>
            </numRef>
          </val>
        </ser>
        <ser>
          <idx val="5"/>
          <order val="5"/>
          <tx>
            <strRef>
              <f>'Facility Economics'!M7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prstDash val="solid"/>
            </a:ln>
          </spPr>
          <cat>
            <numRef>
              <f>'Facility Economics'!$B$8:$B$12</f>
            </numRef>
          </cat>
          <val>
            <numRef>
              <f>'Facility Economics'!$M$8:$M$12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₹&quot;#,##0,,&quot;M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sensitivity by lever (₹ crore)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'Facility Economics'!C37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'Facility Economics'!$B$38:$B$49</f>
            </numRef>
          </cat>
          <val>
            <numRef>
              <f>'Facility Economics'!$C$38:$C$49</f>
            </numRef>
          </val>
        </ser>
        <ser>
          <idx val="1"/>
          <order val="1"/>
          <tx>
            <strRef>
              <f>'Facility Economics'!D37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'Facility Economics'!$B$38:$B$49</f>
            </numRef>
          </cat>
          <val>
            <numRef>
              <f>'Facility Economics'!$D$38:$D$49</f>
            </numRef>
          </val>
        </ser>
        <ser>
          <idx val="2"/>
          <order val="2"/>
          <tx>
            <strRef>
              <f>'Facility Economics'!E37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'Facility Economics'!$B$38:$B$49</f>
            </numRef>
          </cat>
          <val>
            <numRef>
              <f>'Facility Economics'!$E$38:$E$49</f>
            </numRef>
          </val>
        </ser>
        <ser>
          <idx val="3"/>
          <order val="3"/>
          <tx>
            <strRef>
              <f>'Facility Economics'!F37</f>
            </strRef>
          </tx>
          <spPr>
            <a:solidFill xmlns:a="http://schemas.openxmlformats.org/drawingml/2006/main">
              <a:srgbClr val="3C8D5A"/>
            </a:solidFill>
            <a:ln xmlns:a="http://schemas.openxmlformats.org/drawingml/2006/main">
              <a:solidFill>
                <a:srgbClr val="3C8D5A"/>
              </a:solidFill>
              <a:prstDash val="solid"/>
            </a:ln>
          </spPr>
          <cat>
            <numRef>
              <f>'Facility Economics'!$B$38:$B$49</f>
            </numRef>
          </cat>
          <val>
            <numRef>
              <f>'Facility Economics'!$F$38:$F$49</f>
            </numRef>
          </val>
        </ser>
        <ser>
          <idx val="4"/>
          <order val="4"/>
          <tx>
            <strRef>
              <f>'Facility Economics'!G37</f>
            </strRef>
          </tx>
          <spPr>
            <a:solidFill xmlns:a="http://schemas.openxmlformats.org/drawingml/2006/main">
              <a:srgbClr val="8E5A9B"/>
            </a:solidFill>
            <a:ln xmlns:a="http://schemas.openxmlformats.org/drawingml/2006/main">
              <a:solidFill>
                <a:srgbClr val="8E5A9B"/>
              </a:solidFill>
              <a:prstDash val="solid"/>
            </a:ln>
          </spPr>
          <cat>
            <numRef>
              <f>'Facility Economics'!$B$38:$B$49</f>
            </numRef>
          </cat>
          <val>
            <numRef>
              <f>'Facility Economics'!$G$38:$G$49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Validation error: baselines vs models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'ML Performance'!D8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'ML Performance'!$C$9:$C$12</f>
            </numRef>
          </cat>
          <val>
            <numRef>
              <f>'ML Performance'!$D$9:$D$12</f>
            </numRef>
          </val>
        </ser>
        <ser>
          <idx val="1"/>
          <order val="1"/>
          <tx>
            <strRef>
              <f>'ML Performance'!E8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'ML Performance'!$C$9:$C$12</f>
            </numRef>
          </cat>
          <val>
            <numRef>
              <f>'ML Performance'!$E$9:$E$12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Zone travel-time factor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'ML Performance'!D17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'ML Performance'!$C$18:$C$42</f>
            </numRef>
          </cat>
          <val>
            <numRef>
              <f>'ML Performance'!$D$18:$D$42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plan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forecasts (validation)</a:t>
            </a:r>
          </a:p>
        </rich>
      </tx>
    </title>
    <plotArea>
      <lineChart>
        <grouping val="standard"/>
        <ser>
          <idx val="0"/>
          <order val="0"/>
          <tx>
            <strRef>
              <f>'ML Performance'!C46</f>
            </strRef>
          </tx>
          <spPr>
            <a:ln xmlns:a="http://schemas.openxmlformats.org/drawingml/2006/main" w="22000">
              <a:solidFill>
                <a:srgbClr val="1F2A4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1F2A44"/>
              </a:solidFill>
              <a:ln xmlns:a="http://schemas.openxmlformats.org/drawingml/2006/main">
                <a:solidFill>
                  <a:srgbClr val="1F2A44"/>
                </a:solidFill>
                <a:prstDash val="solid"/>
              </a:ln>
            </spPr>
          </marker>
          <cat>
            <numRef>
              <f>'ML Performance'!$B$47:$B$67</f>
            </numRef>
          </cat>
          <val>
            <numRef>
              <f>'ML Performance'!$C$47:$C$67</f>
            </numRef>
          </val>
          <smooth val="0"/>
        </ser>
        <ser>
          <idx val="1"/>
          <order val="1"/>
          <tx>
            <strRef>
              <f>'ML Performance'!D46</f>
            </strRef>
          </tx>
          <spPr>
            <a:ln xmlns:a="http://schemas.openxmlformats.org/drawingml/2006/main" w="22000">
              <a:solidFill>
                <a:srgbClr val="0E7C8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E7C86"/>
              </a:solidFill>
              <a:ln xmlns:a="http://schemas.openxmlformats.org/drawingml/2006/main">
                <a:solidFill>
                  <a:srgbClr val="0E7C86"/>
                </a:solidFill>
                <a:prstDash val="solid"/>
              </a:ln>
            </spPr>
          </marker>
          <cat>
            <numRef>
              <f>'ML Performance'!$B$47:$B$67</f>
            </numRef>
          </cat>
          <val>
            <numRef>
              <f>'ML Performance'!$D$47:$D$67</f>
            </numRef>
          </val>
          <smooth val="0"/>
        </ser>
        <ser>
          <idx val="2"/>
          <order val="2"/>
          <tx>
            <strRef>
              <f>'ML Performance'!E46</f>
            </strRef>
          </tx>
          <spPr>
            <a:ln xmlns:a="http://schemas.openxmlformats.org/drawingml/2006/main" w="22000">
              <a:solidFill>
                <a:srgbClr val="E3A21A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E3A21A"/>
              </a:solidFill>
              <a:ln xmlns:a="http://schemas.openxmlformats.org/drawingml/2006/main">
                <a:solidFill>
                  <a:srgbClr val="E3A21A"/>
                </a:solidFill>
                <a:prstDash val="solid"/>
              </a:ln>
            </spPr>
          </marker>
          <cat>
            <numRef>
              <f>'ML Performance'!$B$47:$B$67</f>
            </numRef>
          </cat>
          <val>
            <numRef>
              <f>'ML Performance'!$E$47:$E$67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14-day forecast by city</a:t>
            </a:r>
          </a:p>
        </rich>
      </tx>
    </title>
    <plotArea>
      <lineChart>
        <grouping val="standard"/>
        <ser>
          <idx val="0"/>
          <order val="0"/>
          <tx>
            <strRef>
              <f>'ML Performance'!C71</f>
            </strRef>
          </tx>
          <spPr>
            <a:ln xmlns:a="http://schemas.openxmlformats.org/drawingml/2006/main" w="22000">
              <a:solidFill>
                <a:srgbClr val="0E7C86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E7C86"/>
              </a:solidFill>
              <a:ln xmlns:a="http://schemas.openxmlformats.org/drawingml/2006/main">
                <a:solidFill>
                  <a:srgbClr val="0E7C86"/>
                </a:solidFill>
                <a:prstDash val="solid"/>
              </a:ln>
            </spPr>
          </marker>
          <cat>
            <numRef>
              <f>'ML Performance'!$B$72:$B$85</f>
            </numRef>
          </cat>
          <val>
            <numRef>
              <f>'ML Performance'!$C$72:$C$85</f>
            </numRef>
          </val>
          <smooth val="0"/>
        </ser>
        <ser>
          <idx val="1"/>
          <order val="1"/>
          <tx>
            <strRef>
              <f>'ML Performance'!D71</f>
            </strRef>
          </tx>
          <spPr>
            <a:ln xmlns:a="http://schemas.openxmlformats.org/drawingml/2006/main" w="22000">
              <a:solidFill>
                <a:srgbClr val="E3A21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3A21A"/>
              </a:solidFill>
              <a:ln xmlns:a="http://schemas.openxmlformats.org/drawingml/2006/main">
                <a:solidFill>
                  <a:srgbClr val="E3A21A"/>
                </a:solidFill>
                <a:prstDash val="solid"/>
              </a:ln>
            </spPr>
          </marker>
          <cat>
            <numRef>
              <f>'ML Performance'!$B$72:$B$85</f>
            </numRef>
          </cat>
          <val>
            <numRef>
              <f>'ML Performance'!$D$72:$D$85</f>
            </numRef>
          </val>
          <smooth val="0"/>
        </ser>
        <ser>
          <idx val="2"/>
          <order val="2"/>
          <tx>
            <strRef>
              <f>'ML Performance'!E71</f>
            </strRef>
          </tx>
          <spPr>
            <a:ln xmlns:a="http://schemas.openxmlformats.org/drawingml/2006/main" w="22000">
              <a:solidFill>
                <a:srgbClr val="6B7A9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6B7A90"/>
              </a:solidFill>
              <a:ln xmlns:a="http://schemas.openxmlformats.org/drawingml/2006/main">
                <a:solidFill>
                  <a:srgbClr val="6B7A90"/>
                </a:solidFill>
                <a:prstDash val="solid"/>
              </a:ln>
            </spPr>
          </marker>
          <cat>
            <numRef>
              <f>'ML Performance'!$B$72:$B$85</f>
            </numRef>
          </cat>
          <val>
            <numRef>
              <f>'ML Performance'!$E$72:$E$85</f>
            </numRef>
          </val>
          <smooth val="0"/>
        </ser>
        <ser>
          <idx val="3"/>
          <order val="3"/>
          <tx>
            <strRef>
              <f>'ML Performance'!F71</f>
            </strRef>
          </tx>
          <spPr>
            <a:ln xmlns:a="http://schemas.openxmlformats.org/drawingml/2006/main" w="22000">
              <a:solidFill>
                <a:srgbClr val="3C8D5A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3C8D5A"/>
              </a:solidFill>
              <a:ln xmlns:a="http://schemas.openxmlformats.org/drawingml/2006/main">
                <a:solidFill>
                  <a:srgbClr val="3C8D5A"/>
                </a:solidFill>
                <a:prstDash val="solid"/>
              </a:ln>
            </spPr>
          </marker>
          <cat>
            <numRef>
              <f>'ML Performance'!$B$72:$B$85</f>
            </numRef>
          </cat>
          <val>
            <numRef>
              <f>'ML Performance'!$F$72:$F$85</f>
            </numRef>
          </val>
          <smooth val="0"/>
        </ser>
        <ser>
          <idx val="4"/>
          <order val="4"/>
          <tx>
            <strRef>
              <f>'ML Performance'!G71</f>
            </strRef>
          </tx>
          <spPr>
            <a:ln xmlns:a="http://schemas.openxmlformats.org/drawingml/2006/main" w="22000">
              <a:solidFill>
                <a:srgbClr val="8E5A9B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8E5A9B"/>
              </a:solidFill>
              <a:ln xmlns:a="http://schemas.openxmlformats.org/drawingml/2006/main">
                <a:solidFill>
                  <a:srgbClr val="8E5A9B"/>
                </a:solidFill>
                <a:prstDash val="solid"/>
              </a:ln>
            </spPr>
          </marker>
          <cat>
            <numRef>
              <f>'ML Performance'!$B$72:$B$85</f>
            </numRef>
          </cat>
          <val>
            <numRef>
              <f>'ML Performance'!$G$72:$G$85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orders/day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last-mile cost: baseline vs optimized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'Routing Analysis'!D8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Analysis'!$D$9:$D$13</f>
            </numRef>
          </val>
        </ser>
        <ser>
          <idx val="1"/>
          <order val="1"/>
          <tx>
            <strRef>
              <f>'Routing Analysis'!E8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'Routing Analysis'!$B$9:$B$13</f>
            </numRef>
          </cat>
          <val>
            <numRef>
              <f>'Routing Analysis'!$E$9:$E$13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₹/day</a:t>
                </a:r>
              </a:p>
            </rich>
          </tx>
        </title>
        <numFmt formatCode="&quot;₹&quot;#,##0,&quot;K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DC P95 cycle time (min) by roster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 Results'!C5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'Simulation Results'!$B$6:$B$10</f>
            </numRef>
          </cat>
          <val>
            <numRef>
              <f>'Simulation Results'!$C$6:$C$10</f>
            </numRef>
          </val>
        </ser>
        <ser>
          <idx val="1"/>
          <order val="1"/>
          <tx>
            <strRef>
              <f>'Simulation Results'!D5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'Simulation Results'!$B$6:$B$10</f>
            </numRef>
          </cat>
          <val>
            <numRef>
              <f>'Simulation Results'!$D$6:$D$10</f>
            </numRef>
          </val>
        </ser>
        <ser>
          <idx val="2"/>
          <order val="2"/>
          <tx>
            <strRef>
              <f>'Simulation Results'!E5</f>
            </strRef>
          </tx>
          <spPr>
            <a:solidFill xmlns:a="http://schemas.openxmlformats.org/drawingml/2006/main">
              <a:srgbClr val="C2413B"/>
            </a:solidFill>
            <a:ln xmlns:a="http://schemas.openxmlformats.org/drawingml/2006/main">
              <a:solidFill>
                <a:srgbClr val="C2413B"/>
              </a:solidFill>
              <a:prstDash val="solid"/>
            </a:ln>
          </spPr>
          <cat>
            <numRef>
              <f>'Simulation Results'!$B$6:$B$10</f>
            </numRef>
          </cat>
          <val>
            <numRef>
              <f>'Simulation Results'!$E$6:$E$10</f>
            </numRef>
          </val>
        </ser>
        <ser>
          <idx val="3"/>
          <order val="3"/>
          <tx>
            <strRef>
              <f>'Simulation Results'!F5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'Simulation Results'!$B$6:$B$10</f>
            </numRef>
          </cat>
          <val>
            <numRef>
              <f>'Simulation Results'!$F$6:$F$10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Picks per hour: current vs optimized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'Warehouse Performance'!H5</f>
            </strRef>
          </tx>
          <spPr>
            <a:solidFill xmlns:a="http://schemas.openxmlformats.org/drawingml/2006/main">
              <a:srgbClr val="6B7A90"/>
            </a:solidFill>
            <a:ln xmlns:a="http://schemas.openxmlformats.org/drawingml/2006/main">
              <a:solidFill>
                <a:srgbClr val="6B7A90"/>
              </a:solidFill>
              <a:prstDash val="solid"/>
            </a:ln>
          </spPr>
          <cat>
            <numRef>
              <f>'Warehouse Performance'!$B$6:$B$10</f>
            </numRef>
          </cat>
          <val>
            <numRef>
              <f>'Warehouse Performance'!$H$6:$H$10</f>
            </numRef>
          </val>
        </ser>
        <ser>
          <idx val="1"/>
          <order val="1"/>
          <tx>
            <strRef>
              <f>'Warehouse Performance'!I5</f>
            </strRef>
          </tx>
          <spPr>
            <a:solidFill xmlns:a="http://schemas.openxmlformats.org/drawingml/2006/main">
              <a:srgbClr val="0E7C86"/>
            </a:solidFill>
            <a:ln xmlns:a="http://schemas.openxmlformats.org/drawingml/2006/main">
              <a:solidFill>
                <a:srgbClr val="0E7C86"/>
              </a:solidFill>
              <a:prstDash val="solid"/>
            </a:ln>
          </spPr>
          <cat>
            <numRef>
              <f>'Warehouse Performance'!$B$6:$B$10</f>
            </numRef>
          </cat>
          <val>
            <numRef>
              <f>'Warehouse Performance'!$I$6:$I$10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picks/h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MFC break-even (x today's parcel volume)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'Network Design'!K5</f>
            </strRef>
          </tx>
          <spPr>
            <a:solidFill xmlns:a="http://schemas.openxmlformats.org/drawingml/2006/main">
              <a:srgbClr val="E3A21A"/>
            </a:solidFill>
            <a:ln xmlns:a="http://schemas.openxmlformats.org/drawingml/2006/main">
              <a:solidFill>
                <a:srgbClr val="E3A21A"/>
              </a:solidFill>
              <a:prstDash val="solid"/>
            </a:ln>
          </spPr>
          <cat>
            <numRef>
              <f>'Network Design'!$C$6:$C$10</f>
            </numRef>
          </cat>
          <val>
            <numRef>
              <f>'Network Design'!$K$6:$K$10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volume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chart" Target="/xl/charts/chart8.xml" Id="rId3"/><Relationship Type="http://schemas.openxmlformats.org/officeDocument/2006/relationships/chart" Target="/xl/charts/chart9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Relationship Type="http://schemas.openxmlformats.org/officeDocument/2006/relationships/chart" Target="/xl/charts/chart22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Relationship Type="http://schemas.openxmlformats.org/officeDocument/2006/relationships/chart" Target="/xl/charts/chart28.xml" Id="rId4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61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30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49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45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6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26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75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75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41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47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29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46</row>
      <rowOff>0</rowOff>
    </from>
    <ext cx="61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14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34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11</col>
      <colOff>0</colOff>
      <row>6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46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44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69</row>
      <rowOff>0</rowOff>
    </from>
    <ext cx="61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7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22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ityProfile" displayName="CityProfile" ref="B8:L13" headerRowCount="1">
  <autoFilter ref="B8:L13"/>
  <tableColumns count="11">
    <tableColumn id="2" name="City ID"/>
    <tableColumn id="3" name="City cluster"/>
    <tableColumn id="4" name="States / UTs"/>
    <tableColumn id="5" name="Volume weight"/>
    <tableColumn id="6" name="Congestion index"/>
    <tableColumn id="7" name="Wage index"/>
    <tableColumn id="8" name="Orders / day"/>
    <tableColumn id="9" name="Peak-day orders"/>
    <tableColumn id="10" name="Peak date"/>
    <tableColumn id="11" name="E-com share"/>
    <tableColumn id="12" name="Avg kg / order"/>
  </tableColumns>
  <tableStyleInfo name="TableStyleLight1" showRowStripes="0"/>
</table>
</file>

<file path=xl/tables/table2.xml><?xml version="1.0" encoding="utf-8"?>
<table xmlns="http://schemas.openxmlformats.org/spreadsheetml/2006/main" id="2" name="MasterRegister" displayName="MasterRegister" ref="B33:F93" headerRowCount="1">
  <autoFilter ref="B33:F93"/>
  <tableColumns count="5">
    <tableColumn id="2" name="Parameter"/>
    <tableColumn id="3" name="Value"/>
    <tableColumn id="4" name="Unit"/>
    <tableColumn id="5" name="Rationale"/>
    <tableColumn id="6" name="Dependent modules"/>
  </tableColumns>
  <tableStyleInfo name="TableStyleLight1" showRowStripes="0"/>
</table>
</file>

<file path=xl/tables/table3.xml><?xml version="1.0" encoding="utf-8"?>
<table xmlns="http://schemas.openxmlformats.org/spreadsheetml/2006/main" id="3" name="Depots" displayName="Depots" ref="B5:L20" headerRowCount="1">
  <autoFilter ref="B5:L20"/>
  <tableColumns count="11">
    <tableColumn id="2" name="Depot ID"/>
    <tableColumn id="3" name="City"/>
    <tableColumn id="4" name="State"/>
    <tableColumn id="5" name="Role"/>
    <tableColumn id="6" name="Depot"/>
    <tableColumn id="7" name="Zone"/>
    <tableColumn id="8" name="Lat"/>
    <tableColumn id="9" name="Lon"/>
    <tableColumn id="10" name="Vehicles"/>
    <tableColumn id="11" name="Opens"/>
    <tableColumn id="12" name="Closes"/>
  </tableColumns>
  <tableStyleInfo name="TableStyleLight1" showRowStripes="0"/>
</table>
</file>

<file path=xl/tables/table4.xml><?xml version="1.0" encoding="utf-8"?>
<table xmlns="http://schemas.openxmlformats.org/spreadsheetml/2006/main" id="4" name="VehicleTypes" displayName="VehicleTypes" ref="B25:M28" headerRowCount="1">
  <autoFilter ref="B25:M28"/>
  <tableColumns count="12">
    <tableColumn id="2" name="Type"/>
    <tableColumn id="3" name="Label"/>
    <tableColumn id="4" name="Capacity kg"/>
    <tableColumn id="5" name="Speed km/h"/>
    <tableColumn id="6" name="₹ / km"/>
    <tableColumn id="7" name="Fixed ₹ / day"/>
    <tableColumn id="8" name="Driver ₹ / h (MUM)"/>
    <tableColumn id="9" name="Duty min"/>
    <tableColumn id="10" name="Max parcel kg"/>
    <tableColumn id="11" name="Acquisition ₹"/>
    <tableColumn id="12" name="Lease ₹ / month"/>
    <tableColumn id="13" name="Restricted zones"/>
  </tableColumns>
  <tableStyleInfo name="TableStyleLight1" showRowStripes="0"/>
</table>
</file>

<file path=xl/tables/table5.xml><?xml version="1.0" encoding="utf-8"?>
<table xmlns="http://schemas.openxmlformats.org/spreadsheetml/2006/main" id="5" name="FleetByCity" displayName="FleetByCity" ref="B33:E38" headerRowCount="1">
  <autoFilter ref="B33:E38"/>
  <tableColumns count="4">
    <tableColumn id="2" name="City"/>
    <tableColumn id="3" name="TEMPO_1T"/>
    <tableColumn id="4" name="TWO_WHEELER"/>
    <tableColumn id="5" name="VAN_2T"/>
  </tableColumns>
  <tableStyleInfo name="TableStyleLight1" showRowStripes="0"/>
</table>
</file>

<file path=xl/tables/table6.xml><?xml version="1.0" encoding="utf-8"?>
<table xmlns="http://schemas.openxmlformats.org/spreadsheetml/2006/main" id="6" name="DailyOrders" displayName="DailyOrders" ref="B8:H98" headerRowCount="1">
  <autoFilter ref="B8:H98"/>
  <tableColumns count="7">
    <tableColumn id="2" name="Date"/>
    <tableColumn id="3" name="Mumbai MMR"/>
    <tableColumn id="4" name="Delhi NCR"/>
    <tableColumn id="5" name="Bengaluru"/>
    <tableColumn id="6" name="Chennai"/>
    <tableColumn id="7" name="Kolkata"/>
    <tableColumn id="8" name="All cities"/>
  </tableColumns>
  <tableStyleInfo name="TableStyleLight1" showRowStripes="0"/>
</table>
</file>

<file path=xl/tables/table7.xml><?xml version="1.0" encoding="utf-8"?>
<table xmlns="http://schemas.openxmlformats.org/spreadsheetml/2006/main" id="7" name="SegmentMix" displayName="SegmentMix" ref="K39:O44" headerRowCount="1">
  <autoFilter ref="K39:O44"/>
  <tableColumns count="5">
    <tableColumn id="11" name="City"/>
    <tableColumn id="12" name="AUTOMOTIVE"/>
    <tableColumn id="13" name="ECOM_B2C"/>
    <tableColumn id="14" name="FMCG_RETAIL"/>
    <tableColumn id="15" name="MODERN_RETAIL"/>
  </tableColumns>
  <tableStyleInfo name="TableStyleLight1" showRowStripes="0"/>
</table>
</file>

<file path=xl/tables/table8.xml><?xml version="1.0" encoding="utf-8"?>
<table xmlns="http://schemas.openxmlformats.org/spreadsheetml/2006/main" id="8" name="Events" displayName="Events" ref="B111:H122" headerRowCount="1">
  <autoFilter ref="B111:H122"/>
  <tableColumns count="7">
    <tableColumn id="2" name="Scope"/>
    <tableColumn id="3" name="Event"/>
    <tableColumn id="4" name="Start"/>
    <tableColumn id="5" name="End"/>
    <tableColumn id="6" name="B2C x"/>
    <tableColumn id="7" name="B2B x"/>
    <tableColumn id="8" name="Traffic x"/>
  </tableColumns>
  <tableStyleInfo name="TableStyleLight1" showRowStripes="0"/>
</table>
</file>

<file path=xl/tables/table9.xml><?xml version="1.0" encoding="utf-8"?>
<table xmlns="http://schemas.openxmlformats.org/spreadsheetml/2006/main" id="9" name="RoutingByCity" displayName="RoutingByCity" ref="B8:Q13" headerRowCount="1">
  <autoFilter ref="B8:Q13"/>
  <tableColumns count="16">
    <tableColumn id="2" name="City"/>
    <tableColumn id="3" name="Orders"/>
    <tableColumn id="4" name="Baseline last-mile ₹"/>
    <tableColumn id="5" name="Optimized last-mile ₹"/>
    <tableColumn id="6" name="Last-mile reduction"/>
    <tableColumn id="7" name="Baseline fleet ₹"/>
    <tableColumn id="8" name="Optimized fleet ₹"/>
    <tableColumn id="9" name="Fleet cost reduction"/>
    <tableColumn id="10" name="Baseline compliance"/>
    <tableColumn id="11" name="Optimized compliance"/>
    <tableColumn id="12" name="Baseline vehicles"/>
    <tableColumn id="13" name="Optimized vehicles"/>
    <tableColumn id="14" name="Baseline unassigned"/>
    <tableColumn id="15" name="Optimized unassigned"/>
    <tableColumn id="16" name="Baseline road km"/>
    <tableColumn id="17" name="Optimized road km"/>
  </tableColumns>
  <tableStyleInfo name="TableStyleLight1" showRowStripes="0"/>
</table>
</file>

<file path=xl/tables/table10.xml><?xml version="1.0" encoding="utf-8"?>
<table xmlns="http://schemas.openxmlformats.org/spreadsheetml/2006/main" id="10" name="ZoneCompliance" displayName="ZoneCompliance" ref="B5:H30" headerRowCount="1">
  <autoFilter ref="B5:H30"/>
  <tableColumns count="7">
    <tableColumn id="2" name="City"/>
    <tableColumn id="3" name="Zone"/>
    <tableColumn id="4" name="Stops"/>
    <tableColumn id="5" name="Baseline on-time"/>
    <tableColumn id="6" name="Optimized on-time"/>
    <tableColumn id="7" name="Avg late min"/>
    <tableColumn id="8" name="Avg wait min"/>
  </tableColumns>
  <tableStyleInfo name="TableStyleLight1" showRowStripes="0"/>
</table>
</file>

<file path=xl/tables/table11.xml><?xml version="1.0" encoding="utf-8"?>
<table xmlns="http://schemas.openxmlformats.org/spreadsheetml/2006/main" id="11" name="VehicleRoutes" displayName="VehicleRoutes" ref="B35:O114" headerRowCount="1">
  <autoFilter ref="B35:O114"/>
  <tableColumns count="14">
    <tableColumn id="2" name="City"/>
    <tableColumn id="3" name="Depot"/>
    <tableColumn id="4" name="Vehicle"/>
    <tableColumn id="5" name="Type"/>
    <tableColumn id="6" name="Stops"/>
    <tableColumn id="7" name="Load util %"/>
    <tableColumn id="8" name="Duty util %"/>
    <tableColumn id="9" name="Straight km"/>
    <tableColumn id="10" name="Road km (est.)"/>
    <tableColumn id="11" name="Duration min"/>
    <tableColumn id="12" name="Wait min"/>
    <tableColumn id="13" name="Late stops"/>
    <tableColumn id="14" name="Duty overrun"/>
    <tableColumn id="15" name="Route cost ₹"/>
  </tableColumns>
  <tableStyleInfo name="TableStyleLight1" showRowStripes="0"/>
</table>
</file>

<file path=xl/tables/table12.xml><?xml version="1.0" encoding="utf-8"?>
<table xmlns="http://schemas.openxmlformats.org/spreadsheetml/2006/main" id="12" name="Unassigned" displayName="Unassigned" ref="B119:K128" headerRowCount="1">
  <autoFilter ref="B119:K128"/>
  <tableColumns count="10">
    <tableColumn id="2" name="order_id"/>
    <tableColumn id="3" name="city_id"/>
    <tableColumn id="4" name="depot_id"/>
    <tableColumn id="5" name="segment"/>
    <tableColumn id="6" name="zone"/>
    <tableColumn id="7" name="weight_kg"/>
    <tableColumn id="8" name="tw_start_min"/>
    <tableColumn id="9" name="tw_end_min"/>
    <tableColumn id="10" name="outsourcing_cost"/>
    <tableColumn id="11" name="reason"/>
  </tableColumns>
  <tableStyleInfo name="TableStyleLight1" showRowStripes="0"/>
</table>
</file>

<file path=xl/tables/table13.xml><?xml version="1.0" encoding="utf-8"?>
<table xmlns="http://schemas.openxmlformats.org/spreadsheetml/2006/main" id="13" name="StopTrail" displayName="StopTrail" ref="B132:P1232" headerRowCount="1">
  <autoFilter ref="B132:P1232"/>
  <tableColumns count="15">
    <tableColumn id="2" name="city_id"/>
    <tableColumn id="3" name="vehicle_id"/>
    <tableColumn id="4" name="seq"/>
    <tableColumn id="5" name="order_id"/>
    <tableColumn id="6" name="segment"/>
    <tableColumn id="7" name="zone"/>
    <tableColumn id="8" name="weight_kg"/>
    <tableColumn id="9" name="tw_start_min"/>
    <tableColumn id="10" name="tw_end_min"/>
    <tableColumn id="11" name="arrival_min"/>
    <tableColumn id="12" name="late_min"/>
    <tableColumn id="13" name="on_time"/>
    <tableColumn id="14" name="leg_straight_km"/>
    <tableColumn id="15" name="leg_road_km"/>
    <tableColumn id="16" name="leg_travel_min"/>
  </tableColumns>
  <tableStyleInfo name="TableStyleLight1" showRowStripes="0"/>
</table>
</file>

<file path=xl/tables/table14.xml><?xml version="1.0" encoding="utf-8"?>
<table xmlns="http://schemas.openxmlformats.org/spreadsheetml/2006/main" id="14" name="RecFleet" displayName="RecFleet" ref="B8:G14" headerRowCount="1">
  <autoFilter ref="B8:G14"/>
  <tableColumns count="6">
    <tableColumn id="2" name="Demand level"/>
    <tableColumn id="3" name="Mumbai MMR"/>
    <tableColumn id="4" name="Delhi NCR"/>
    <tableColumn id="5" name="Bengaluru"/>
    <tableColumn id="6" name="Chennai"/>
    <tableColumn id="7" name="Kolkata"/>
  </tableColumns>
  <tableStyleInfo name="TableStyleLight1" showRowStripes="0"/>
</table>
</file>

<file path=xl/tables/table15.xml><?xml version="1.0" encoding="utf-8"?>
<table xmlns="http://schemas.openxmlformats.org/spreadsheetml/2006/main" id="15" name="CurFleetComp" displayName="CurFleetComp" ref="B18:H24" headerRowCount="1">
  <autoFilter ref="B18:H24"/>
  <tableColumns count="7">
    <tableColumn id="2" name="Demand level"/>
    <tableColumn id="3" name="Mumbai MMR"/>
    <tableColumn id="4" name="Delhi NCR"/>
    <tableColumn id="5" name="Bengaluru"/>
    <tableColumn id="6" name="Chennai"/>
    <tableColumn id="7" name="Kolkata"/>
    <tableColumn id="8" name="Target"/>
  </tableColumns>
  <tableStyleInfo name="TableStyleLight1" showRowStripes="0"/>
</table>
</file>

<file path=xl/tables/table16.xml><?xml version="1.0" encoding="utf-8"?>
<table xmlns="http://schemas.openxmlformats.org/spreadsheetml/2006/main" id="16" name="FleetScenarios" displayName="FleetScenarios" ref="B28:R64" headerRowCount="1">
  <autoFilter ref="B28:R64"/>
  <tableColumns count="17">
    <tableColumn id="2" name="City"/>
    <tableColumn id="3" name="Level"/>
    <tableColumn id="4" name="Orders"/>
    <tableColumn id="5" name="History days"/>
    <tableColumn id="6" name="Current-fleet compliance"/>
    <tableColumn id="7" name="Current unassigned"/>
    <tableColumn id="8" name="Rec. fleet"/>
    <tableColumn id="9" name="Vans"/>
    <tableColumn id="10" name="Tempos"/>
    <tableColumn id="11" name="2-wheelers"/>
    <tableColumn id="12" name="Rec. compliance"/>
    <tableColumn id="13" name="₹ / order"/>
    <tableColumn id="14" name="Duty util %"/>
    <tableColumn id="15" name="Annual TCO own ₹"/>
    <tableColumn id="16" name="Annual TCO lease ₹"/>
    <tableColumn id="17" name="Feasible"/>
    <tableColumn id="18" name="Status"/>
  </tableColumns>
  <tableStyleInfo name="TableStyleLight1" showRowStripes="0"/>
</table>
</file>

<file path=xl/tables/table17.xml><?xml version="1.0" encoding="utf-8"?>
<table xmlns="http://schemas.openxmlformats.org/spreadsheetml/2006/main" id="17" name="FleetTCO" displayName="FleetTCO" ref="B69:I74" headerRowCount="1">
  <autoFilter ref="B69:I74"/>
  <tableColumns count="8">
    <tableColumn id="2" name="City"/>
    <tableColumn id="3" name="Capital (EAC) ₹"/>
    <tableColumn id="4" name="Insurance ₹"/>
    <tableColumn id="5" name="Maintenance ₹"/>
    <tableColumn id="6" name="Fuel ₹"/>
    <tableColumn id="7" name="Labour ₹"/>
    <tableColumn id="8" name="TCO own ₹"/>
    <tableColumn id="9" name="TCO lease ₹"/>
  </tableColumns>
  <tableStyleInfo name="TableStyleLight1" showRowStripes="0"/>
</table>
</file>

<file path=xl/tables/table18.xml><?xml version="1.0" encoding="utf-8"?>
<table xmlns="http://schemas.openxmlformats.org/spreadsheetml/2006/main" id="18" name="WarehousePerf" displayName="WarehousePerf" ref="B5:Q10" headerRowCount="1">
  <autoFilter ref="B5:Q10"/>
  <tableColumns count="16">
    <tableColumn id="2" name="City"/>
    <tableColumn id="3" name="Pick lines"/>
    <tableColumn id="4" name="Travel m/line (current)"/>
    <tableColumn id="5" name="Travel m/line (optimized)"/>
    <tableColumn id="6" name="Travel m/line (bound)"/>
    <tableColumn id="7" name="Travel reduction"/>
    <tableColumn id="8" name="Picks/h (current)"/>
    <tableColumn id="9" name="Picks/h (optimized)"/>
    <tableColumn id="10" name="Picks/h (bound)"/>
    <tableColumn id="11" name="Throughput gain"/>
    <tableColumn id="12" name="₹/1,000 picks (current)"/>
    <tableColumn id="13" name="₹/1,000 picks (optimized)"/>
    <tableColumn id="14" name="Labour saving"/>
    <tableColumn id="15" name="Heavy violations (current)"/>
    <tableColumn id="16" name="Heavy violations (optimized)"/>
    <tableColumn id="17" name="Bound captured"/>
  </tableColumns>
  <tableStyleInfo name="TableStyleLight1" showRowStripes="0"/>
</table>
</file>

<file path=xl/tables/table19.xml><?xml version="1.0" encoding="utf-8"?>
<table xmlns="http://schemas.openxmlformats.org/spreadsheetml/2006/main" id="19" name="ZoneShare" displayName="ZoneShare" ref="B35:E40" headerRowCount="1">
  <autoFilter ref="B35:E40"/>
  <tableColumns count="4">
    <tableColumn id="2" name="City"/>
    <tableColumn id="3" name="Zone A (golden)"/>
    <tableColumn id="4" name="Zone B"/>
    <tableColumn id="5" name="Zone C (bulk)"/>
  </tableColumns>
  <tableStyleInfo name="TableStyleLight1" showRowStripes="0"/>
</table>
</file>

<file path=xl/tables/table20.xml><?xml version="1.0" encoding="utf-8"?>
<table xmlns="http://schemas.openxmlformats.org/spreadsheetml/2006/main" id="20" name="ShrinkageCV" displayName="ShrinkageCV" ref="J35:O39" headerRowCount="1">
  <autoFilter ref="J35:O39"/>
  <tableColumns count="6">
    <tableColumn id="10" name="Shrinkage k"/>
    <tableColumn id="11" name="Mumbai MMR"/>
    <tableColumn id="12" name="Delhi NCR"/>
    <tableColumn id="13" name="Bengaluru"/>
    <tableColumn id="14" name="Chennai"/>
    <tableColumn id="15" name="Kolkata"/>
  </tableColumns>
  <tableStyleInfo name="TableStyleLight1" showRowStripes="0"/>
</table>
</file>

<file path=xl/tables/table21.xml><?xml version="1.0" encoding="utf-8"?>
<table xmlns="http://schemas.openxmlformats.org/spreadsheetml/2006/main" id="21" name="SimP95" displayName="SimP95" ref="B5:G10" headerRowCount="1">
  <autoFilter ref="B5:G10"/>
  <tableColumns count="6">
    <tableColumn id="2" name="City"/>
    <tableColumn id="3" name="Baseline staffing"/>
    <tableColumn id="4" name="Optimized staffing"/>
    <tableColumn id="5" name="Diwali peak - baseline staffing"/>
    <tableColumn id="6" name="Diwali peak - peak roster"/>
    <tableColumn id="7" name="Target"/>
  </tableColumns>
  <tableStyleInfo name="TableStyleLight1" showRowStripes="0"/>
</table>
</file>

<file path=xl/tables/table22.xml><?xml version="1.0" encoding="utf-8"?>
<table xmlns="http://schemas.openxmlformats.org/spreadsheetml/2006/main" id="22" name="SimDetail" displayName="SimDetail" ref="B25:S45" headerRowCount="1">
  <autoFilter ref="B25:S45"/>
  <tableColumns count="18">
    <tableColumn id="2" name="City"/>
    <tableColumn id="3" name="Scenario"/>
    <tableColumn id="4" name="Roster"/>
    <tableColumn id="5" name="Staff ₹/day"/>
    <tableColumn id="6" name="Throughput P10"/>
    <tableColumn id="7" name="Throughput P50"/>
    <tableColumn id="8" name="Throughput P90"/>
    <tableColumn id="9" name="P95 cycle P10"/>
    <tableColumn id="10" name="P95 cycle P50"/>
    <tableColumn id="11" name="P95 cycle P90"/>
    <tableColumn id="12" name="Pooled P95"/>
    <tableColumn id="13" name="SLA share P50"/>
    <tableColumn id="14" name="Backlog P50"/>
    <tableColumn id="15" name="Picker util"/>
    <tableColumn id="16" name="Packer util"/>
    <tableColumn id="17" name="Loader util"/>
    <tableColumn id="18" name="Bottleneck"/>
    <tableColumn id="19" name="Meets target"/>
  </tableColumns>
  <tableStyleInfo name="TableStyleLight1" showRowStripes="0"/>
</table>
</file>

<file path=xl/tables/table23.xml><?xml version="1.0" encoding="utf-8"?>
<table xmlns="http://schemas.openxmlformats.org/spreadsheetml/2006/main" id="23" name="SimHist" displayName="SimHist" ref="B49:F97" headerRowCount="1">
  <autoFilter ref="B49:F97"/>
  <tableColumns count="5">
    <tableColumn id="2" name="Cycle bin (min)"/>
    <tableColumn id="3" name="Baseline staffing"/>
    <tableColumn id="4" name="Optimized staffing"/>
    <tableColumn id="5" name="Diwali peak - baseline staffing"/>
    <tableColumn id="6" name="Diwali peak - peak roster"/>
  </tableColumns>
  <tableStyleInfo name="TableStyleLight1" showRowStripes="0"/>
</table>
</file>

<file path=xl/tables/table24.xml><?xml version="1.0" encoding="utf-8"?>
<table xmlns="http://schemas.openxmlformats.org/spreadsheetml/2006/main" id="24" name="CityRanking" displayName="CityRanking" ref="B5:N10" headerRowCount="1">
  <autoFilter ref="B5:N10"/>
  <tableColumns count="13">
    <tableColumn id="2" name="Priority"/>
    <tableColumn id="3" name="City"/>
    <tableColumn id="4" name="State(s)"/>
    <tableColumn id="5" name="Parcels/day"/>
    <tableColumn id="6" name="2h SLA today"/>
    <tableColumn id="7" name="Best p"/>
    <tableColumn id="8" name="Best sites"/>
    <tableColumn id="9" name="Best NPV (₹ cr)"/>
    <tableColumn id="10" name="Break-even parcels/day"/>
    <tableColumn id="11" name="Break-even x volume"/>
    <tableColumn id="12" name="Min p for 100% SLA"/>
    <tableColumn id="13" name="₹ / order-km"/>
    <tableColumn id="14" name="Recommendation"/>
  </tableColumns>
  <tableStyleInfo name="TableStyleLight1" showRowStripes="0"/>
</table>
</file>

<file path=xl/tables/table25.xml><?xml version="1.0" encoding="utf-8"?>
<table xmlns="http://schemas.openxmlformats.org/spreadsheetml/2006/main" id="25" name="NetworkScenarios" displayName="NetworkScenarios" ref="B65:N95" headerRowCount="1">
  <autoFilter ref="B65:N95"/>
  <tableColumns count="13">
    <tableColumn id="2" name="City"/>
    <tableColumn id="3" name="p"/>
    <tableColumn id="4" name="Sites"/>
    <tableColumn id="5" name="Km/parcel"/>
    <tableColumn id="6" name="2h SLA"/>
    <tableColumn id="7" name="MFC parcels/day"/>
    <tableColumn id="8" name="Capex ₹"/>
    <tableColumn id="9" name="Opex ₹/yr"/>
    <tableColumn id="10" name="Line-haul ₹/yr"/>
    <tableColumn id="11" name="Saving Y1 ₹"/>
    <tableColumn id="12" name="NPV ₹"/>
    <tableColumn id="13" name="Break-even parcels/day"/>
    <tableColumn id="14" name="Solver"/>
  </tableColumns>
  <tableStyleInfo name="TableStyleLight1" showRowStripes="0"/>
</table>
</file>

<file path=xl/tables/table26.xml><?xml version="1.0" encoding="utf-8"?>
<table xmlns="http://schemas.openxmlformats.org/spreadsheetml/2006/main" id="26" name="Sites" displayName="Sites" ref="B99:H154" headerRowCount="1">
  <autoFilter ref="B99:H154"/>
  <tableColumns count="7">
    <tableColumn id="2" name="Site"/>
    <tableColumn id="3" name="City"/>
    <tableColumn id="4" name="Location"/>
    <tableColumn id="5" name="Rent ₹/sqft/month"/>
    <tableColumn id="6" name="Fixed opex ₹/yr"/>
    <tableColumn id="7" name="Line-haul km from DC"/>
    <tableColumn id="8" name="Selected in p"/>
  </tableColumns>
  <tableStyleInfo name="TableStyleLight1" showRowStripes="0"/>
</table>
</file>

<file path=xl/tables/table27.xml><?xml version="1.0" encoding="utf-8"?>
<table xmlns="http://schemas.openxmlformats.org/spreadsheetml/2006/main" id="27" name="NPVSensitivity" displayName="NPVSensitivity" ref="B37:G49" headerRowCount="1">
  <autoFilter ref="B37:G49"/>
  <tableColumns count="6">
    <tableColumn id="2" name="Lever setting"/>
    <tableColumn id="3" name="Mumbai MMR"/>
    <tableColumn id="4" name="Delhi NCR"/>
    <tableColumn id="5" name="Bengaluru"/>
    <tableColumn id="6" name="Chennai"/>
    <tableColumn id="7" name="Kolkata"/>
  </tableColumns>
  <tableStyleInfo name="TableStyleLight1" showRowStripes="0"/>
</table>
</file>

<file path=xl/tables/table28.xml><?xml version="1.0" encoding="utf-8"?>
<table xmlns="http://schemas.openxmlformats.org/spreadsheetml/2006/main" id="28" name="MLMetrics" displayName="MLMetrics" ref="B8:I12" headerRowCount="1">
  <autoFilter ref="B8:I12"/>
  <tableColumns count="8">
    <tableColumn id="2" name="model"/>
    <tableColumn id="3" name="approach"/>
    <tableColumn id="4" name="MAE"/>
    <tableColumn id="5" name="RMSE"/>
    <tableColumn id="6" name="MAPE"/>
    <tableColumn id="7" name="n"/>
    <tableColumn id="8" name="unit"/>
    <tableColumn id="9" name="validation_start"/>
  </tableColumns>
  <tableStyleInfo name="TableStyleLight1" showRowStripes="0"/>
</table>
</file>

<file path=xl/tables/table29.xml><?xml version="1.0" encoding="utf-8"?>
<table xmlns="http://schemas.openxmlformats.org/spreadsheetml/2006/main" id="29" name="ZoneFactors" displayName="ZoneFactors" ref="B17:D42" headerRowCount="1">
  <autoFilter ref="B17:D42"/>
  <tableColumns count="3">
    <tableColumn id="2" name="City"/>
    <tableColumn id="3" name="Zone"/>
    <tableColumn id="4" name="Travel-time factor vs plan"/>
  </tableColumns>
  <tableStyleInfo name="TableStyleLight1" showRowStripes="0"/>
</table>
</file>

<file path=xl/tables/table30.xml><?xml version="1.0" encoding="utf-8"?>
<table xmlns="http://schemas.openxmlformats.org/spreadsheetml/2006/main" id="30" name="FeatureImportance" displayName="FeatureImportance" ref="O17:P29" headerRowCount="1">
  <autoFilter ref="O17:P29"/>
  <tableColumns count="2">
    <tableColumn id="15" name="feature"/>
    <tableColumn id="16" name="importance"/>
  </tableColumns>
  <tableStyleInfo name="TableStyleLight1" showRowStripes="0"/>
</table>
</file>

<file path=xl/tables/table31.xml><?xml version="1.0" encoding="utf-8"?>
<table xmlns="http://schemas.openxmlformats.org/spreadsheetml/2006/main" id="31" name="DemandVal" displayName="DemandVal" ref="B46:E67" headerRowCount="1">
  <autoFilter ref="B46:E67"/>
  <tableColumns count="4">
    <tableColumn id="2" name="Date"/>
    <tableColumn id="3" name="Actual"/>
    <tableColumn id="4" name="Gradient boosting"/>
    <tableColumn id="5" name="Seasonal naive"/>
  </tableColumns>
  <tableStyleInfo name="TableStyleLight1" showRowStripes="0"/>
</table>
</file>

<file path=xl/tables/table32.xml><?xml version="1.0" encoding="utf-8"?>
<table xmlns="http://schemas.openxmlformats.org/spreadsheetml/2006/main" id="32" name="Forecast14" displayName="Forecast14" ref="B71:G85" headerRowCount="1">
  <autoFilter ref="B71:G85"/>
  <tableColumns count="6">
    <tableColumn id="2" name="Date"/>
    <tableColumn id="3" name="Mumbai MMR"/>
    <tableColumn id="4" name="Delhi NCR"/>
    <tableColumn id="5" name="Bengaluru"/>
    <tableColumn id="6" name="Chennai"/>
    <tableColumn id="7" name="Kolkata"/>
  </tableColumns>
  <tableStyleInfo name="TableStyleLight1" showRowStripes="0"/>
</table>
</file>

<file path=xl/tables/table33.xml><?xml version="1.0" encoding="utf-8"?>
<table xmlns="http://schemas.openxmlformats.org/spreadsheetml/2006/main" id="33" name="KPIDefs" displayName="KPIDefs" ref="B4:G22" headerRowCount="1">
  <autoFilter ref="B4:G22"/>
  <tableColumns count="6">
    <tableColumn id="2" name="KPI"/>
    <tableColumn id="3" name="Definition"/>
    <tableColumn id="4" name="Formula"/>
    <tableColumn id="5" name="Unit"/>
    <tableColumn id="6" name="Module"/>
    <tableColumn id="7" name="Target"/>
  </tableColumns>
  <tableStyleInfo name="TableStyleLight1" showRowStripes="0"/>
</table>
</file>

<file path=xl/tables/table34.xml><?xml version="1.0" encoding="utf-8"?>
<table xmlns="http://schemas.openxmlformats.org/spreadsheetml/2006/main" id="34" name="CityScorecard" displayName="CityScorecard" ref="B14:L19" headerRowCount="1">
  <autoFilter ref="B14:L19"/>
  <tableColumns count="11">
    <tableColumn id="2" name="City"/>
    <tableColumn id="3" name="Last-mile cost reduction"/>
    <tableColumn id="4" name="Optimized compliance"/>
    <tableColumn id="5" name="Fleet at 1.0x"/>
    <tableColumn id="6" name="Pick travel reduction"/>
    <tableColumn id="7" name="Throughput gain"/>
    <tableColumn id="8" name="P95 now (min)"/>
    <tableColumn id="9" name="P95 optimized (min)"/>
    <tableColumn id="10" name="Diwali P95 current roster"/>
    <tableColumn id="11" name="MFC break-even x"/>
    <tableColumn id="12" name="2h SLA today"/>
  </tableColumns>
  <tableStyleInfo name="TableStyleLight1" showRowStripes="0"/>
</table>
</file>

<file path=xl/tables/table35.xml><?xml version="1.0" encoding="utf-8"?>
<table xmlns="http://schemas.openxmlformats.org/spreadsheetml/2006/main" id="35" name="HealthComponents" displayName="HealthComponents" ref="I39:K44" headerRowCount="1">
  <autoFilter ref="I39:K44"/>
  <tableColumns count="3">
    <tableColumn id="9" name="Component"/>
    <tableColumn id="10" name="Score"/>
    <tableColumn id="11" name="Weight"/>
  </tableColumns>
  <tableStyleInfo name="TableStyleLight1" showRowStripes="0"/>
</table>
</file>

<file path=xl/tables/table36.xml><?xml version="1.0" encoding="utf-8"?>
<table xmlns="http://schemas.openxmlformats.org/spreadsheetml/2006/main" id="36" name="Alerts" displayName="Alerts" ref="B48:E60" headerRowCount="1">
  <autoFilter ref="B48:E60"/>
  <tableColumns count="4">
    <tableColumn id="2" name="Severity"/>
    <tableColumn id="3" name="Area"/>
    <tableColumn id="4" name="City"/>
    <tableColumn id="5" name="Alert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9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0.xml" Id="rId2"/><Relationship Type="http://schemas.openxmlformats.org/officeDocument/2006/relationships/table" Target="/xl/tables/table11.xml" Id="rId3"/><Relationship Type="http://schemas.openxmlformats.org/officeDocument/2006/relationships/table" Target="/xl/tables/table12.xml" Id="rId4"/><Relationship Type="http://schemas.openxmlformats.org/officeDocument/2006/relationships/table" Target="/xl/tables/table13.xml" Id="rId5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Relationship Type="http://schemas.openxmlformats.org/officeDocument/2006/relationships/table" Target="/xl/tables/table16.xml" Id="rId4"/><Relationship Type="http://schemas.openxmlformats.org/officeDocument/2006/relationships/table" Target="/xl/tables/table17.xml" Id="rId5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Relationship Type="http://schemas.openxmlformats.org/officeDocument/2006/relationships/table" Target="/xl/tables/table20.xml" Id="rId4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21.xml" Id="rId2"/><Relationship Type="http://schemas.openxmlformats.org/officeDocument/2006/relationships/table" Target="/xl/tables/table22.xml" Id="rId3"/><Relationship Type="http://schemas.openxmlformats.org/officeDocument/2006/relationships/table" Target="/xl/tables/table23.xml" Id="rId4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24.xml" Id="rId2"/><Relationship Type="http://schemas.openxmlformats.org/officeDocument/2006/relationships/table" Target="/xl/tables/table25.xml" Id="rId3"/><Relationship Type="http://schemas.openxmlformats.org/officeDocument/2006/relationships/table" Target="/xl/tables/table26.xml" Id="rId4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table" Target="/xl/tables/table27.xml" Id="rId2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table" Target="/xl/tables/table28.xml" Id="rId2"/><Relationship Type="http://schemas.openxmlformats.org/officeDocument/2006/relationships/table" Target="/xl/tables/table29.xml" Id="rId3"/><Relationship Type="http://schemas.openxmlformats.org/officeDocument/2006/relationships/table" Target="/xl/tables/table30.xml" Id="rId4"/><Relationship Type="http://schemas.openxmlformats.org/officeDocument/2006/relationships/table" Target="/xl/tables/table31.xml" Id="rId5"/><Relationship Type="http://schemas.openxmlformats.org/officeDocument/2006/relationships/table" Target="/xl/tables/table32.xml" Id="rId6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table" Target="/xl/tables/table35.xml" Id="rId2"/><Relationship Type="http://schemas.openxmlformats.org/officeDocument/2006/relationships/table" Target="/xl/tables/table36.xml" Id="rId3"/></Relationships>
</file>

<file path=xl/worksheets/sheet1.xml><?xml version="1.0" encoding="utf-8"?>
<worksheet xmlns="http://schemas.openxmlformats.org/spreadsheetml/2006/main">
  <sheetPr>
    <tabColor rgb="001F2A44"/>
    <outlinePr summaryBelow="1" summaryRight="1"/>
    <pageSetUpPr fitToPage="1"/>
  </sheetPr>
  <dimension ref="A1:N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n"/>
      <c r="B1" s="2" t="inlineStr">
        <is>
          <t>Logistics and Network Design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8" customHeight="1">
      <c r="B2" s="3" t="inlineStr">
        <is>
          <t>Portfolio Output 6 · five metro clusters across seven states/UTs · 90-day operating history from 2025-09-01</t>
        </is>
      </c>
    </row>
    <row r="4" ht="30" customHeight="1">
      <c r="B4" s="4" t="n">
        <v>5</v>
      </c>
      <c r="C4" s="5" t="n"/>
      <c r="D4" s="4" t="n">
        <v>7</v>
      </c>
      <c r="E4" s="5" t="n"/>
      <c r="F4" s="4" t="n">
        <v>2500</v>
      </c>
      <c r="G4" s="5" t="n"/>
      <c r="H4" s="4" t="n">
        <v>125</v>
      </c>
      <c r="I4" s="5" t="n"/>
      <c r="J4" s="4" t="n">
        <v>104195</v>
      </c>
      <c r="K4" s="5" t="n"/>
      <c r="L4" s="4" t="n">
        <v>55</v>
      </c>
      <c r="M4" s="5" t="n"/>
    </row>
    <row r="5" ht="26" customHeight="1">
      <c r="B5" s="6" t="inlineStr">
        <is>
          <t>Metro clusters</t>
        </is>
      </c>
      <c r="C5" s="5" t="n"/>
      <c r="D5" s="6" t="inlineStr">
        <is>
          <t>States / UTs</t>
        </is>
      </c>
      <c r="E5" s="5" t="n"/>
      <c r="F5" s="6" t="inlineStr">
        <is>
          <t>Delivery addresses</t>
        </is>
      </c>
      <c r="G5" s="5" t="n"/>
      <c r="H5" s="6" t="inlineStr">
        <is>
          <t>Vehicles</t>
        </is>
      </c>
      <c r="I5" s="5" t="n"/>
      <c r="J5" s="6" t="inlineStr">
        <is>
          <t>Orders (90 days)</t>
        </is>
      </c>
      <c r="K5" s="5" t="n"/>
      <c r="L5" s="6" t="inlineStr">
        <is>
          <t>Candidate MFC sites</t>
        </is>
      </c>
      <c r="M5" s="5" t="n"/>
    </row>
    <row r="7">
      <c r="B7" s="7" t="inlineStr">
        <is>
          <t>City cluster profile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 ht="30" customHeight="1">
      <c r="B8" s="9" t="inlineStr">
        <is>
          <t>City ID</t>
        </is>
      </c>
      <c r="C8" s="9" t="inlineStr">
        <is>
          <t>City cluster</t>
        </is>
      </c>
      <c r="D8" s="9" t="inlineStr">
        <is>
          <t>States / UTs</t>
        </is>
      </c>
      <c r="E8" s="9" t="inlineStr">
        <is>
          <t>Volume weight</t>
        </is>
      </c>
      <c r="F8" s="9" t="inlineStr">
        <is>
          <t>Congestion index</t>
        </is>
      </c>
      <c r="G8" s="9" t="inlineStr">
        <is>
          <t>Wage index</t>
        </is>
      </c>
      <c r="H8" s="9" t="inlineStr">
        <is>
          <t>Orders / day</t>
        </is>
      </c>
      <c r="I8" s="9" t="inlineStr">
        <is>
          <t>Peak-day orders</t>
        </is>
      </c>
      <c r="J8" s="9" t="inlineStr">
        <is>
          <t>Peak date</t>
        </is>
      </c>
      <c r="K8" s="9" t="inlineStr">
        <is>
          <t>E-com share</t>
        </is>
      </c>
      <c r="L8" s="9" t="inlineStr">
        <is>
          <t>Avg kg / order</t>
        </is>
      </c>
    </row>
    <row r="9">
      <c r="B9" s="10" t="inlineStr">
        <is>
          <t>MUM</t>
        </is>
      </c>
      <c r="C9" s="10" t="inlineStr">
        <is>
          <t>Mumbai MMR</t>
        </is>
      </c>
      <c r="D9" s="10" t="inlineStr">
        <is>
          <t>Maharashtra</t>
        </is>
      </c>
      <c r="E9" s="11" t="n">
        <v>1</v>
      </c>
      <c r="F9" s="11" t="n">
        <v>1</v>
      </c>
      <c r="G9" s="11" t="n">
        <v>1</v>
      </c>
      <c r="H9" s="12" t="n">
        <v>278.9</v>
      </c>
      <c r="I9" s="13" t="n">
        <v>554</v>
      </c>
      <c r="J9" s="14" t="n">
        <v>45943</v>
      </c>
      <c r="K9" s="15" t="n">
        <v>0.6583</v>
      </c>
      <c r="L9" s="12" t="n">
        <v>50.8</v>
      </c>
    </row>
    <row r="10">
      <c r="B10" s="16" t="inlineStr">
        <is>
          <t>DEL</t>
        </is>
      </c>
      <c r="C10" s="16" t="inlineStr">
        <is>
          <t>Delhi NCR</t>
        </is>
      </c>
      <c r="D10" s="16" t="inlineStr">
        <is>
          <t>Delhi, Haryana, Uttar Pradesh</t>
        </is>
      </c>
      <c r="E10" s="17" t="n">
        <v>1.05</v>
      </c>
      <c r="F10" s="17" t="n">
        <v>0.95</v>
      </c>
      <c r="G10" s="17" t="n">
        <v>1</v>
      </c>
      <c r="H10" s="18" t="n">
        <v>292.3</v>
      </c>
      <c r="I10" s="19" t="n">
        <v>524</v>
      </c>
      <c r="J10" s="20" t="n">
        <v>45947</v>
      </c>
      <c r="K10" s="21" t="n">
        <v>0.6634</v>
      </c>
      <c r="L10" s="18" t="n">
        <v>49.6</v>
      </c>
    </row>
    <row r="11">
      <c r="B11" s="10" t="inlineStr">
        <is>
          <t>BLR</t>
        </is>
      </c>
      <c r="C11" s="10" t="inlineStr">
        <is>
          <t>Bengaluru</t>
        </is>
      </c>
      <c r="D11" s="10" t="inlineStr">
        <is>
          <t>Karnataka</t>
        </is>
      </c>
      <c r="E11" s="11" t="n">
        <v>0.85</v>
      </c>
      <c r="F11" s="11" t="n">
        <v>1.12</v>
      </c>
      <c r="G11" s="11" t="n">
        <v>1.02</v>
      </c>
      <c r="H11" s="12" t="n">
        <v>233.7</v>
      </c>
      <c r="I11" s="13" t="n">
        <v>430</v>
      </c>
      <c r="J11" s="14" t="n">
        <v>45943</v>
      </c>
      <c r="K11" s="15" t="n">
        <v>0.6594</v>
      </c>
      <c r="L11" s="12" t="n">
        <v>49.6</v>
      </c>
    </row>
    <row r="12">
      <c r="B12" s="16" t="inlineStr">
        <is>
          <t>CHE</t>
        </is>
      </c>
      <c r="C12" s="16" t="inlineStr">
        <is>
          <t>Chennai</t>
        </is>
      </c>
      <c r="D12" s="16" t="inlineStr">
        <is>
          <t>Tamil Nadu</t>
        </is>
      </c>
      <c r="E12" s="17" t="n">
        <v>0.7</v>
      </c>
      <c r="F12" s="17" t="n">
        <v>0.92</v>
      </c>
      <c r="G12" s="17" t="n">
        <v>0.92</v>
      </c>
      <c r="H12" s="18" t="n">
        <v>191.6</v>
      </c>
      <c r="I12" s="19" t="n">
        <v>368</v>
      </c>
      <c r="J12" s="20" t="n">
        <v>45943</v>
      </c>
      <c r="K12" s="21" t="n">
        <v>0.6627</v>
      </c>
      <c r="L12" s="18" t="n">
        <v>50.3</v>
      </c>
    </row>
    <row r="13">
      <c r="B13" s="10" t="inlineStr">
        <is>
          <t>KOL</t>
        </is>
      </c>
      <c r="C13" s="10" t="inlineStr">
        <is>
          <t>Kolkata</t>
        </is>
      </c>
      <c r="D13" s="10" t="inlineStr">
        <is>
          <t>West Bengal</t>
        </is>
      </c>
      <c r="E13" s="11" t="n">
        <v>0.6</v>
      </c>
      <c r="F13" s="11" t="n">
        <v>1.05</v>
      </c>
      <c r="G13" s="11" t="n">
        <v>0.85</v>
      </c>
      <c r="H13" s="12" t="n">
        <v>161.3</v>
      </c>
      <c r="I13" s="13" t="n">
        <v>349</v>
      </c>
      <c r="J13" s="14" t="n">
        <v>45943</v>
      </c>
      <c r="K13" s="15" t="n">
        <v>0.6603</v>
      </c>
      <c r="L13" s="12" t="n">
        <v>50.3</v>
      </c>
    </row>
    <row r="15">
      <c r="K15" s="7" t="inlineStr">
        <is>
          <t>Scenario levers (editable)</t>
        </is>
      </c>
      <c r="L15" s="8" t="n"/>
      <c r="M15" s="8" t="n"/>
      <c r="N15" s="8" t="n"/>
    </row>
    <row r="16">
      <c r="K16" s="22" t="inlineStr">
        <is>
          <t>Blue = input; Facility Economics recalculates from these cells.</t>
        </is>
      </c>
    </row>
    <row r="17">
      <c r="K17" s="23" t="inlineStr">
        <is>
          <t>WACC</t>
        </is>
      </c>
      <c r="M17" s="24" t="n">
        <v>0.12</v>
      </c>
    </row>
    <row r="18">
      <c r="K18" s="23" t="inlineStr">
        <is>
          <t>Demand growth / year</t>
        </is>
      </c>
      <c r="M18" s="24" t="n">
        <v>0.18</v>
      </c>
    </row>
    <row r="19">
      <c r="K19" s="23" t="inlineStr">
        <is>
          <t>Compliance target</t>
        </is>
      </c>
      <c r="M19" s="24" t="n">
        <v>0.95</v>
      </c>
    </row>
    <row r="20">
      <c r="K20" s="23" t="inlineStr">
        <is>
          <t>P95 cycle-time target (min)</t>
        </is>
      </c>
      <c r="M20" s="25" t="n">
        <v>120</v>
      </c>
    </row>
    <row r="31">
      <c r="B31" s="7" t="inlineStr">
        <is>
          <t>Master data register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B32" s="22" t="inlineStr">
        <is>
          <t>Every parameter used by the models, with unit, rationale and dependent modules (config/logistics.yaml).</t>
        </is>
      </c>
    </row>
    <row r="33" ht="30" customHeight="1">
      <c r="B33" s="9" t="inlineStr">
        <is>
          <t>Parameter</t>
        </is>
      </c>
      <c r="C33" s="9" t="inlineStr">
        <is>
          <t>Value</t>
        </is>
      </c>
      <c r="D33" s="9" t="inlineStr">
        <is>
          <t>Unit</t>
        </is>
      </c>
      <c r="E33" s="9" t="inlineStr">
        <is>
          <t>Rationale</t>
        </is>
      </c>
      <c r="F33" s="9" t="inlineStr">
        <is>
          <t>Dependent modules</t>
        </is>
      </c>
    </row>
    <row r="34">
      <c r="B34" s="10" t="inlineStr">
        <is>
          <t>project.seed</t>
        </is>
      </c>
      <c r="C34" s="10" t="inlineStr">
        <is>
          <t>42</t>
        </is>
      </c>
      <c r="D34" s="10" t="inlineStr">
        <is>
          <t>-</t>
        </is>
      </c>
      <c r="E34" s="10" t="inlineStr">
        <is>
          <t>Fixed seed so every run reproduces identical data and results</t>
        </is>
      </c>
      <c r="F34" s="10" t="inlineStr">
        <is>
          <t>all</t>
        </is>
      </c>
    </row>
    <row r="35">
      <c r="B35" s="16" t="inlineStr">
        <is>
          <t>calendar.start_date</t>
        </is>
      </c>
      <c r="C35" s="16" t="inlineStr">
        <is>
          <t>2025-09-01</t>
        </is>
      </c>
      <c r="D35" s="16" t="inlineStr">
        <is>
          <t>date</t>
        </is>
      </c>
      <c r="E35" s="16" t="inlineStr">
        <is>
          <t>90-day window covering monsoon tail, festive sales and Diwali</t>
        </is>
      </c>
      <c r="F35" s="16" t="inlineStr">
        <is>
          <t>data, ml, simulation</t>
        </is>
      </c>
    </row>
    <row r="36">
      <c r="B36" s="10" t="inlineStr">
        <is>
          <t>calendar.days</t>
        </is>
      </c>
      <c r="C36" s="10" t="inlineStr">
        <is>
          <t>90</t>
        </is>
      </c>
      <c r="D36" s="10" t="inlineStr">
        <is>
          <t>days</t>
        </is>
      </c>
      <c r="E36" s="10" t="inlineStr">
        <is>
          <t>Planning history length specified for the scenario</t>
        </is>
      </c>
      <c r="F36" s="10" t="inlineStr">
        <is>
          <t>data, ml</t>
        </is>
      </c>
    </row>
    <row r="37">
      <c r="B37" s="16" t="inlineStr">
        <is>
          <t>calendar.diwali_date</t>
        </is>
      </c>
      <c r="C37" s="16" t="inlineStr">
        <is>
          <t>2025-10-20</t>
        </is>
      </c>
      <c r="D37" s="16" t="inlineStr">
        <is>
          <t>date</t>
        </is>
      </c>
      <c r="E37" s="16" t="inlineStr">
        <is>
          <t>Diwali 2025 (Lakshmi Puja); national peak build-up precedes it</t>
        </is>
      </c>
      <c r="F37" s="16" t="inlineStr">
        <is>
          <t>data, fleet, simulation</t>
        </is>
      </c>
    </row>
    <row r="38">
      <c r="B38" s="10" t="inlineStr">
        <is>
          <t>cities.MUM.volume_weight</t>
        </is>
      </c>
      <c r="C38" s="10" t="inlineStr">
        <is>
          <t>1.0</t>
        </is>
      </c>
      <c r="D38" s="10" t="inlineStr">
        <is>
          <t>index</t>
        </is>
      </c>
      <c r="E38" s="10" t="inlineStr">
        <is>
          <t>Mumbai MMR (Maharashtra) order volume relative to base</t>
        </is>
      </c>
      <c r="F38" s="10" t="inlineStr">
        <is>
          <t>data</t>
        </is>
      </c>
    </row>
    <row r="39">
      <c r="B39" s="16" t="inlineStr">
        <is>
          <t>cities.DEL.volume_weight</t>
        </is>
      </c>
      <c r="C39" s="16" t="inlineStr">
        <is>
          <t>1.05</t>
        </is>
      </c>
      <c r="D39" s="16" t="inlineStr">
        <is>
          <t>index</t>
        </is>
      </c>
      <c r="E39" s="16" t="inlineStr">
        <is>
          <t>Delhi NCR (Delhi, Haryana, UP) order volume relative to base</t>
        </is>
      </c>
      <c r="F39" s="16" t="inlineStr">
        <is>
          <t>data</t>
        </is>
      </c>
    </row>
    <row r="40">
      <c r="B40" s="10" t="inlineStr">
        <is>
          <t>cities.BLR.volume_weight</t>
        </is>
      </c>
      <c r="C40" s="10" t="inlineStr">
        <is>
          <t>0.85</t>
        </is>
      </c>
      <c r="D40" s="10" t="inlineStr">
        <is>
          <t>index</t>
        </is>
      </c>
      <c r="E40" s="10" t="inlineStr">
        <is>
          <t>Bengaluru (Karnataka) order volume relative to base</t>
        </is>
      </c>
      <c r="F40" s="10" t="inlineStr">
        <is>
          <t>data</t>
        </is>
      </c>
    </row>
    <row r="41">
      <c r="B41" s="16" t="inlineStr">
        <is>
          <t>cities.CHE.volume_weight</t>
        </is>
      </c>
      <c r="C41" s="16" t="inlineStr">
        <is>
          <t>0.7</t>
        </is>
      </c>
      <c r="D41" s="16" t="inlineStr">
        <is>
          <t>index</t>
        </is>
      </c>
      <c r="E41" s="16" t="inlineStr">
        <is>
          <t>Chennai (Tamil Nadu) order volume relative to base</t>
        </is>
      </c>
      <c r="F41" s="16" t="inlineStr">
        <is>
          <t>data</t>
        </is>
      </c>
    </row>
    <row r="42">
      <c r="B42" s="10" t="inlineStr">
        <is>
          <t>cities.KOL.volume_weight</t>
        </is>
      </c>
      <c r="C42" s="10" t="inlineStr">
        <is>
          <t>0.6</t>
        </is>
      </c>
      <c r="D42" s="10" t="inlineStr">
        <is>
          <t>index</t>
        </is>
      </c>
      <c r="E42" s="10" t="inlineStr">
        <is>
          <t>Kolkata (West Bengal) order volume relative to base</t>
        </is>
      </c>
      <c r="F42" s="10" t="inlineStr">
        <is>
          <t>data</t>
        </is>
      </c>
    </row>
    <row r="43">
      <c r="B43" s="16" t="inlineStr">
        <is>
          <t>cities.BLR.congestion</t>
        </is>
      </c>
      <c r="C43" s="16" t="inlineStr">
        <is>
          <t>1.12</t>
        </is>
      </c>
      <c r="D43" s="16" t="inlineStr">
        <is>
          <t>index</t>
        </is>
      </c>
      <c r="E43" s="16" t="inlineStr">
        <is>
          <t>Observed travel-time index in Bengaluru trip logs (highest congestion)</t>
        </is>
      </c>
      <c r="F43" s="16" t="inlineStr">
        <is>
          <t>data, ml</t>
        </is>
      </c>
    </row>
    <row r="44">
      <c r="B44" s="10" t="inlineStr">
        <is>
          <t>cities.CHE.rain_probability_by_month</t>
        </is>
      </c>
      <c r="C44" s="10" t="inlineStr">
        <is>
          <t>{9: 0.2, 10: 0.45, 11: 0.5}</t>
        </is>
      </c>
      <c r="D44" s="10" t="inlineStr">
        <is>
          <t>probability</t>
        </is>
      </c>
      <c r="E44" s="10" t="inlineStr">
        <is>
          <t>North-east monsoon raises Oct-Nov rain days in Chennai</t>
        </is>
      </c>
      <c r="F44" s="10" t="inlineStr">
        <is>
          <t>data, ml</t>
        </is>
      </c>
    </row>
    <row r="45">
      <c r="B45" s="16" t="inlineStr">
        <is>
          <t>cities.KOL.events</t>
        </is>
      </c>
      <c r="C45" s="16" t="inlineStr">
        <is>
          <t>Durga Puja 2025-09-28-2025-10-02: x</t>
        </is>
      </c>
      <c r="D45" s="16" t="inlineStr">
        <is>
          <t>event list</t>
        </is>
      </c>
      <c r="E45" s="16" t="inlineStr">
        <is>
          <t>Durga Puja: B2B shutdown and heavy pandal traffic in Kolkata</t>
        </is>
      </c>
      <c r="F45" s="16" t="inlineStr">
        <is>
          <t>data, ml, simulation</t>
        </is>
      </c>
    </row>
    <row r="46">
      <c r="B46" s="10" t="inlineStr">
        <is>
          <t>cities.DEL.events</t>
        </is>
      </c>
      <c r="C46" s="10" t="inlineStr">
        <is>
          <t>Chhath Puja 2025-10-27-2025-10-28: x</t>
        </is>
      </c>
      <c r="D46" s="10" t="inlineStr">
        <is>
          <t>event list</t>
        </is>
      </c>
      <c r="E46" s="10" t="inlineStr">
        <is>
          <t>Chhath Puja demand dip in Delhi NCR</t>
        </is>
      </c>
      <c r="F46" s="10" t="inlineStr">
        <is>
          <t>data, ml</t>
        </is>
      </c>
    </row>
    <row r="47">
      <c r="B47" s="16" t="inlineStr">
        <is>
          <t>cities.MUM.events</t>
        </is>
      </c>
      <c r="C47" s="16" t="inlineStr">
        <is>
          <t>Ganesh Visarjan 2025-09-06-2025-09-06: x</t>
        </is>
      </c>
      <c r="D47" s="16" t="inlineStr">
        <is>
          <t>event list</t>
        </is>
      </c>
      <c r="E47" s="16" t="inlineStr">
        <is>
          <t>Ganesh Visarjan processions in Mumbai</t>
        </is>
      </c>
      <c r="F47" s="16" t="inlineStr">
        <is>
          <t>data, ml</t>
        </is>
      </c>
    </row>
    <row r="48">
      <c r="B48" s="10" t="inlineStr">
        <is>
          <t>cities.KOL.wage_index</t>
        </is>
      </c>
      <c r="C48" s="10" t="inlineStr">
        <is>
          <t>0.85</t>
        </is>
      </c>
      <c r="D48" s="10" t="inlineStr">
        <is>
          <t>index</t>
        </is>
      </c>
      <c r="E48" s="10" t="inlineStr">
        <is>
          <t>Regional wage level vs Mumbai (drivers, warehouse, MFC staff)</t>
        </is>
      </c>
      <c r="F48" s="10" t="inlineStr">
        <is>
          <t>vrp, fleet, simulation, network</t>
        </is>
      </c>
    </row>
    <row r="49">
      <c r="B49" s="16" t="inlineStr">
        <is>
          <t>geography.planning_circuity</t>
        </is>
      </c>
      <c r="C49" s="16" t="inlineStr">
        <is>
          <t>1.35</t>
        </is>
      </c>
      <c r="D49" s="16" t="inlineStr">
        <is>
          <t>ratio</t>
        </is>
      </c>
      <c r="E49" s="16" t="inlineStr">
        <is>
          <t>Road km / straight-line km used for planning without zone calibration (typical Indian metro 1.3-1.4)</t>
        </is>
      </c>
      <c r="F49" s="16" t="inlineStr">
        <is>
          <t>vrp, fleet, network</t>
        </is>
      </c>
    </row>
    <row r="50">
      <c r="B50" s="10" t="inlineStr">
        <is>
          <t>cities.KOL.zones.Howrah.circuity</t>
        </is>
      </c>
      <c r="C50" s="10" t="inlineStr">
        <is>
          <t>1.5</t>
        </is>
      </c>
      <c r="D50" s="10" t="inlineStr">
        <is>
          <t>ratio</t>
        </is>
      </c>
      <c r="E50" s="10" t="inlineStr">
        <is>
          <t>Observed road/straight-line ratio; river crossing via limited bridges</t>
        </is>
      </c>
      <c r="F50" s="10" t="inlineStr">
        <is>
          <t>data, ml</t>
        </is>
      </c>
    </row>
    <row r="51">
      <c r="B51" s="16" t="inlineStr">
        <is>
          <t>cities.MUM.zones.South Mumbai.circuity</t>
        </is>
      </c>
      <c r="C51" s="16" t="inlineStr">
        <is>
          <t>1.45</t>
        </is>
      </c>
      <c r="D51" s="16" t="inlineStr">
        <is>
          <t>ratio</t>
        </is>
      </c>
      <c r="E51" s="16" t="inlineStr">
        <is>
          <t>Observed road/straight-line ratio, peninsula with one-ways</t>
        </is>
      </c>
      <c r="F51" s="16" t="inlineStr">
        <is>
          <t>data, ml</t>
        </is>
      </c>
    </row>
    <row r="52">
      <c r="B52" s="10" t="inlineStr">
        <is>
          <t>fleet.vehicle_types.VAN_2T.capacity_kg</t>
        </is>
      </c>
      <c r="C52" s="10" t="inlineStr">
        <is>
          <t>2000</t>
        </is>
      </c>
      <c r="D52" s="10" t="inlineStr">
        <is>
          <t>kg</t>
        </is>
      </c>
      <c r="E52" s="10" t="inlineStr">
        <is>
          <t>Payload of 2-ton light commercial van</t>
        </is>
      </c>
      <c r="F52" s="10" t="inlineStr">
        <is>
          <t>vrp, fleet</t>
        </is>
      </c>
    </row>
    <row r="53">
      <c r="B53" s="16" t="inlineStr">
        <is>
          <t>fleet.vehicle_types.TEMPO_1T.capacity_kg</t>
        </is>
      </c>
      <c r="C53" s="16" t="inlineStr">
        <is>
          <t>1000</t>
        </is>
      </c>
      <c r="D53" s="16" t="inlineStr">
        <is>
          <t>kg</t>
        </is>
      </c>
      <c r="E53" s="16" t="inlineStr">
        <is>
          <t>Payload of 1-ton tempo</t>
        </is>
      </c>
      <c r="F53" s="16" t="inlineStr">
        <is>
          <t>vrp, fleet</t>
        </is>
      </c>
    </row>
    <row r="54">
      <c r="B54" s="10" t="inlineStr">
        <is>
          <t>fleet.vehicle_types.TWO_WHEELER.capacity_kg</t>
        </is>
      </c>
      <c r="C54" s="10" t="inlineStr">
        <is>
          <t>40</t>
        </is>
      </c>
      <c r="D54" s="10" t="inlineStr">
        <is>
          <t>kg</t>
        </is>
      </c>
      <c r="E54" s="10" t="inlineStr">
        <is>
          <t>Cargo-box payload of delivery 2-wheeler</t>
        </is>
      </c>
      <c r="F54" s="10" t="inlineStr">
        <is>
          <t>vrp, fleet</t>
        </is>
      </c>
    </row>
    <row r="55">
      <c r="B55" s="16" t="inlineStr">
        <is>
          <t>fleet.vehicle_types.TWO_WHEELER.max_order_kg</t>
        </is>
      </c>
      <c r="C55" s="16" t="inlineStr">
        <is>
          <t>15</t>
        </is>
      </c>
      <c r="D55" s="16" t="inlineStr">
        <is>
          <t>kg</t>
        </is>
      </c>
      <c r="E55" s="16" t="inlineStr">
        <is>
          <t>Largest single parcel a rider can carry</t>
        </is>
      </c>
      <c r="F55" s="16" t="inlineStr">
        <is>
          <t>vrp</t>
        </is>
      </c>
    </row>
    <row r="56">
      <c r="B56" s="10" t="inlineStr">
        <is>
          <t>fleet.vehicle_types.VAN_2T.cost_per_km</t>
        </is>
      </c>
      <c r="C56" s="10" t="inlineStr">
        <is>
          <t>18.0</t>
        </is>
      </c>
      <c r="D56" s="10" t="inlineStr">
        <is>
          <t>INR/km</t>
        </is>
      </c>
      <c r="E56" s="10" t="inlineStr">
        <is>
          <t>Diesel + tyres + running maintenance</t>
        </is>
      </c>
      <c r="F56" s="10" t="inlineStr">
        <is>
          <t>vrp, fleet, network</t>
        </is>
      </c>
    </row>
    <row r="57">
      <c r="B57" s="16" t="inlineStr">
        <is>
          <t>fleet.vehicle_types.TEMPO_1T.cost_per_km</t>
        </is>
      </c>
      <c r="C57" s="16" t="inlineStr">
        <is>
          <t>13.0</t>
        </is>
      </c>
      <c r="D57" s="16" t="inlineStr">
        <is>
          <t>INR/km</t>
        </is>
      </c>
      <c r="E57" s="16" t="inlineStr">
        <is>
          <t>CNG tempo running cost</t>
        </is>
      </c>
      <c r="F57" s="16" t="inlineStr">
        <is>
          <t>vrp, fleet, network</t>
        </is>
      </c>
    </row>
    <row r="58">
      <c r="B58" s="10" t="inlineStr">
        <is>
          <t>fleet.vehicle_types.TWO_WHEELER.cost_per_km</t>
        </is>
      </c>
      <c r="C58" s="10" t="inlineStr">
        <is>
          <t>3.5</t>
        </is>
      </c>
      <c r="D58" s="10" t="inlineStr">
        <is>
          <t>INR/km</t>
        </is>
      </c>
      <c r="E58" s="10" t="inlineStr">
        <is>
          <t>Petrol/EV 2-wheeler running cost</t>
        </is>
      </c>
      <c r="F58" s="10" t="inlineStr">
        <is>
          <t>vrp, fleet</t>
        </is>
      </c>
    </row>
    <row r="59">
      <c r="B59" s="16" t="inlineStr">
        <is>
          <t>fleet.vehicle_types.VAN_2T.fixed_cost_per_day</t>
        </is>
      </c>
      <c r="C59" s="16" t="inlineStr">
        <is>
          <t>2800</t>
        </is>
      </c>
      <c r="D59" s="16" t="inlineStr">
        <is>
          <t>INR/day</t>
        </is>
      </c>
      <c r="E59" s="16" t="inlineStr">
        <is>
          <t>Lease/depreciation, insurance, permits per operating day</t>
        </is>
      </c>
      <c r="F59" s="16" t="inlineStr">
        <is>
          <t>vrp, fleet</t>
        </is>
      </c>
    </row>
    <row r="60">
      <c r="B60" s="10" t="inlineStr">
        <is>
          <t>fleet.vehicle_types.VAN_2T.driver_wage_per_hour</t>
        </is>
      </c>
      <c r="C60" s="10" t="inlineStr">
        <is>
          <t>230</t>
        </is>
      </c>
      <c r="D60" s="10" t="inlineStr">
        <is>
          <t>INR/h</t>
        </is>
      </c>
      <c r="E60" s="10" t="inlineStr">
        <is>
          <t>Loaded driver cost at Mumbai wage level (scaled by city wage_index)</t>
        </is>
      </c>
      <c r="F60" s="10" t="inlineStr">
        <is>
          <t>vrp, fleet</t>
        </is>
      </c>
    </row>
    <row r="61">
      <c r="B61" s="16" t="inlineStr">
        <is>
          <t>fleet.vehicle_types.VAN_2T.speed_kmph</t>
        </is>
      </c>
      <c r="C61" s="16" t="inlineStr">
        <is>
          <t>26</t>
        </is>
      </c>
      <c r="D61" s="16" t="inlineStr">
        <is>
          <t>km/h</t>
        </is>
      </c>
      <c r="E61" s="16" t="inlineStr">
        <is>
          <t>Free-flow urban speed before traffic multiplier</t>
        </is>
      </c>
      <c r="F61" s="16" t="inlineStr">
        <is>
          <t>vrp, fleet, network</t>
        </is>
      </c>
    </row>
    <row r="62">
      <c r="B62" s="10" t="inlineStr">
        <is>
          <t>fleet.vehicle_types.VAN_2T.max_route_minutes</t>
        </is>
      </c>
      <c r="C62" s="10" t="inlineStr">
        <is>
          <t>600</t>
        </is>
      </c>
      <c r="D62" s="10" t="inlineStr">
        <is>
          <t>min</t>
        </is>
      </c>
      <c r="E62" s="10" t="inlineStr">
        <is>
          <t>Driver duty limit</t>
        </is>
      </c>
      <c r="F62" s="10" t="inlineStr">
        <is>
          <t>vrp, fleet</t>
        </is>
      </c>
    </row>
    <row r="63">
      <c r="B63" s="16" t="inlineStr">
        <is>
          <t>fleet.vehicle_types.VAN_2T.restricted_zones</t>
        </is>
      </c>
      <c r="C63" s="16" t="inlineStr">
        <is>
          <t>['South Mumbai', 'Central Delhi', 'Central Bengaluru', 'Central Chennai', 'Central Kolkata']</t>
        </is>
      </c>
      <c r="D63" s="16" t="inlineStr">
        <is>
          <t>list</t>
        </is>
      </c>
      <c r="E63" s="16" t="inlineStr">
        <is>
          <t>Goods-vehicle entry restrictions in each city's core business district</t>
        </is>
      </c>
      <c r="F63" s="16" t="inlineStr">
        <is>
          <t>vrp, fleet</t>
        </is>
      </c>
    </row>
    <row r="64">
      <c r="B64" s="10" t="inlineStr">
        <is>
          <t>fleet.vehicle_types.VAN_2T.acquisition_cost</t>
        </is>
      </c>
      <c r="C64" s="10" t="inlineStr">
        <is>
          <t>2400000</t>
        </is>
      </c>
      <c r="D64" s="10" t="inlineStr">
        <is>
          <t>INR</t>
        </is>
      </c>
      <c r="E64" s="10" t="inlineStr">
        <is>
          <t>Ex-showroom + body build</t>
        </is>
      </c>
      <c r="F64" s="10" t="inlineStr">
        <is>
          <t>fleet</t>
        </is>
      </c>
    </row>
    <row r="65">
      <c r="B65" s="16" t="inlineStr">
        <is>
          <t>fleet.vehicle_types.VAN_2T.lease_per_month</t>
        </is>
      </c>
      <c r="C65" s="16" t="inlineStr">
        <is>
          <t>62000</t>
        </is>
      </c>
      <c r="D65" s="16" t="inlineStr">
        <is>
          <t>INR/month</t>
        </is>
      </c>
      <c r="E65" s="16" t="inlineStr">
        <is>
          <t>Operating lease quote basis</t>
        </is>
      </c>
      <c r="F65" s="16" t="inlineStr">
        <is>
          <t>fleet</t>
        </is>
      </c>
    </row>
    <row r="66">
      <c r="B66" s="10" t="inlineStr">
        <is>
          <t>fleet.allocation_by_role</t>
        </is>
      </c>
      <c r="C66" s="10" t="inlineStr">
        <is>
          <t>{'DC': {'VAN_2T': 6, 'TEMPO_1T': 4, 'TWO_WHEELER': 0}, 'MFC': {'VAN_2T': 1, 'TEMPO_1T': 3, 'TWO_WHEELER': 3}, 'HUB': {'V</t>
        </is>
      </c>
      <c r="D66" s="10" t="inlineStr">
        <is>
          <t>vehicles</t>
        </is>
      </c>
      <c r="E66" s="10" t="inlineStr">
        <is>
          <t>Home-depot allocation of each city's 25-vehicle fleet by depot role</t>
        </is>
      </c>
      <c r="F66" s="10" t="inlineStr">
        <is>
          <t>vrp, fleet</t>
        </is>
      </c>
    </row>
    <row r="67">
      <c r="B67" s="16" t="inlineStr">
        <is>
          <t>fleet.operating_days_per_year</t>
        </is>
      </c>
      <c r="C67" s="16" t="inlineStr">
        <is>
          <t>310</t>
        </is>
      </c>
      <c r="D67" s="16" t="inlineStr">
        <is>
          <t>days</t>
        </is>
      </c>
      <c r="E67" s="16" t="inlineStr">
        <is>
          <t>Annualisation of daily route economics</t>
        </is>
      </c>
      <c r="F67" s="16" t="inlineStr">
        <is>
          <t>fleet, network</t>
        </is>
      </c>
    </row>
    <row r="68">
      <c r="B68" s="10" t="inlineStr">
        <is>
          <t>orders.base_daily_orders</t>
        </is>
      </c>
      <c r="C68" s="10" t="inlineStr">
        <is>
          <t>255</t>
        </is>
      </c>
      <c r="D68" s="10" t="inlineStr">
        <is>
          <t>orders/day</t>
        </is>
      </c>
      <c r="E68" s="10" t="inlineStr">
        <is>
          <t>Average non-event weekday deliveries per city at volume_weight 1.0</t>
        </is>
      </c>
      <c r="F68" s="10" t="inlineStr">
        <is>
          <t>data</t>
        </is>
      </c>
    </row>
    <row r="69">
      <c r="B69" s="16" t="inlineStr">
        <is>
          <t>orders.stocking_roles</t>
        </is>
      </c>
      <c r="C69" s="16" t="inlineStr">
        <is>
          <t>{'ECOM_B2C': ['DC', 'MFC', 'HUB'], 'FMCG_RETAIL': ['HUB'], 'MODERN_RETAIL': ['DC'], 'AUTOMOTIVE': ['DC']}</t>
        </is>
      </c>
      <c r="D69" s="16" t="inlineStr">
        <is>
          <t>depot roles</t>
        </is>
      </c>
      <c r="E69" s="16" t="inlineStr">
        <is>
          <t>Segment stocking policy; each order ships from its nearest stocking depot in its city</t>
        </is>
      </c>
      <c r="F69" s="16" t="inlineStr">
        <is>
          <t>data, vrp, fleet</t>
        </is>
      </c>
    </row>
    <row r="70">
      <c r="B70" s="10" t="inlineStr">
        <is>
          <t>orders.service_minutes.ECOM_B2C</t>
        </is>
      </c>
      <c r="C70" s="10" t="inlineStr">
        <is>
          <t>4.0</t>
        </is>
      </c>
      <c r="D70" s="10" t="inlineStr">
        <is>
          <t>min</t>
        </is>
      </c>
      <c r="E70" s="10" t="inlineStr">
        <is>
          <t>Doorstep handover incl. OTP</t>
        </is>
      </c>
      <c r="F70" s="10" t="inlineStr">
        <is>
          <t>vrp, fleet</t>
        </is>
      </c>
    </row>
    <row r="71">
      <c r="B71" s="16" t="inlineStr">
        <is>
          <t>orders.service_minutes.B2B_PER_KG</t>
        </is>
      </c>
      <c r="C71" s="16" t="inlineStr">
        <is>
          <t>0.035</t>
        </is>
      </c>
      <c r="D71" s="16" t="inlineStr">
        <is>
          <t>min/kg</t>
        </is>
      </c>
      <c r="E71" s="16" t="inlineStr">
        <is>
          <t>Unloading time per kg for cartons/pallets</t>
        </is>
      </c>
      <c r="F71" s="16" t="inlineStr">
        <is>
          <t>vrp, fleet</t>
        </is>
      </c>
    </row>
    <row r="72">
      <c r="B72" s="10" t="inlineStr">
        <is>
          <t>traffic.bands</t>
        </is>
      </c>
      <c r="C72" s="10" t="inlineStr">
        <is>
          <t>early 0-480: x1.0; morning peak 480-660: x1.8; midday 660-1020: x1.1; evening peak 1020-1260: x2.2; night 1260-1440: x1.</t>
        </is>
      </c>
      <c r="D72" s="10" t="inlineStr">
        <is>
          <t>multiplier</t>
        </is>
      </c>
      <c r="E72" s="10" t="inlineStr">
        <is>
          <t>Morning 1.8x, midday 1.1x, evening 2.2x on free-flow time</t>
        </is>
      </c>
      <c r="F72" s="10" t="inlineStr">
        <is>
          <t>vrp, fleet, simulation, ml</t>
        </is>
      </c>
    </row>
    <row r="73">
      <c r="B73" s="16" t="inlineStr">
        <is>
          <t>telematics.rain_travel_factor</t>
        </is>
      </c>
      <c r="C73" s="16" t="inlineStr">
        <is>
          <t>1.18</t>
        </is>
      </c>
      <c r="D73" s="16" t="inlineStr">
        <is>
          <t>multiplier</t>
        </is>
      </c>
      <c r="E73" s="16" t="inlineStr">
        <is>
          <t>Travel time inflation on rain days in trip logs</t>
        </is>
      </c>
      <c r="F73" s="16" t="inlineStr">
        <is>
          <t>data, ml</t>
        </is>
      </c>
    </row>
    <row r="74">
      <c r="B74" s="10" t="inlineStr">
        <is>
          <t>routing.duty_buffer_pct</t>
        </is>
      </c>
      <c r="C74" s="10" t="inlineStr">
        <is>
          <t>0.06</t>
        </is>
      </c>
      <c r="D74" s="10" t="inlineStr">
        <is>
          <t>share</t>
        </is>
      </c>
      <c r="E74" s="10" t="inlineStr">
        <is>
          <t>Planning headroom on driver duty limit so routes replayed under real traffic stay legal</t>
        </is>
      </c>
      <c r="F74" s="10" t="inlineStr">
        <is>
          <t>vrp, fleet</t>
        </is>
      </c>
    </row>
    <row r="75">
      <c r="B75" s="16" t="inlineStr">
        <is>
          <t>routing.time_limit_s</t>
        </is>
      </c>
      <c r="C75" s="16" t="inlineStr">
        <is>
          <t>30</t>
        </is>
      </c>
      <c r="D75" s="16" t="inlineStr">
        <is>
          <t>s</t>
        </is>
      </c>
      <c r="E75" s="16" t="inlineStr">
        <is>
          <t>Upper bound on guided local search per depot</t>
        </is>
      </c>
      <c r="F75" s="16" t="inlineStr">
        <is>
          <t>vrp</t>
        </is>
      </c>
    </row>
    <row r="76">
      <c r="B76" s="10" t="inlineStr">
        <is>
          <t>routing.outsourcing_cost</t>
        </is>
      </c>
      <c r="C76" s="10" t="inlineStr">
        <is>
          <t>{'ECOM_B2C': 220, 'FMCG_RETAIL': 2600, 'MODERN_RETAIL': 3200, 'AUTOMOTIVE': 2400}</t>
        </is>
      </c>
      <c r="D76" s="10" t="inlineStr">
        <is>
          <t>INR/order</t>
        </is>
      </c>
      <c r="E76" s="10" t="inlineStr">
        <is>
          <t>Spot-market cost charged for an order the fleet cannot serve</t>
        </is>
      </c>
      <c r="F76" s="10" t="inlineStr">
        <is>
          <t>vrp, fleet</t>
        </is>
      </c>
    </row>
    <row r="77">
      <c r="B77" s="16" t="inlineStr">
        <is>
          <t>fleet_sizing.compliance_target</t>
        </is>
      </c>
      <c r="C77" s="16" t="inlineStr">
        <is>
          <t>0.95</t>
        </is>
      </c>
      <c r="D77" s="16" t="inlineStr">
        <is>
          <t>share</t>
        </is>
      </c>
      <c r="E77" s="16" t="inlineStr">
        <is>
          <t>Minimum on-time-in-window share for a feasible fleet</t>
        </is>
      </c>
      <c r="F77" s="16" t="inlineStr">
        <is>
          <t>fleet</t>
        </is>
      </c>
    </row>
    <row r="78">
      <c r="B78" s="10" t="inlineStr">
        <is>
          <t>warehouse.zone_slot_counts</t>
        </is>
      </c>
      <c r="C78" s="10" t="inlineStr">
        <is>
          <t>{'A': 2000, 'B': 4000, 'C': 4000}</t>
        </is>
      </c>
      <c r="D78" s="10" t="inlineStr">
        <is>
          <t>slots</t>
        </is>
      </c>
      <c r="E78" s="10" t="inlineStr">
        <is>
          <t>Golden (A), silver (B), bulk (C) zone sizes, 10,000 slots per city DC</t>
        </is>
      </c>
      <c r="F78" s="10" t="inlineStr">
        <is>
          <t>slotting</t>
        </is>
      </c>
    </row>
    <row r="79">
      <c r="B79" s="16" t="inlineStr">
        <is>
          <t>warehouse.heavy_threshold_kg</t>
        </is>
      </c>
      <c r="C79" s="16" t="inlineStr">
        <is>
          <t>10</t>
        </is>
      </c>
      <c r="D79" s="16" t="inlineStr">
        <is>
          <t>kg</t>
        </is>
      </c>
      <c r="E79" s="16" t="inlineStr">
        <is>
          <t>Items above this weight must sit on floor or approved lower shelf</t>
        </is>
      </c>
      <c r="F79" s="16" t="inlineStr">
        <is>
          <t>slotting</t>
        </is>
      </c>
    </row>
    <row r="80">
      <c r="B80" s="10" t="inlineStr">
        <is>
          <t>warehouse.pick_orders</t>
        </is>
      </c>
      <c r="C80" s="10" t="inlineStr">
        <is>
          <t>30000</t>
        </is>
      </c>
      <c r="D80" s="10" t="inlineStr">
        <is>
          <t>orders</t>
        </is>
      </c>
      <c r="E80" s="10" t="inlineStr">
        <is>
          <t>Pick history (~65 days) at volume_weight 1.0; last third held out</t>
        </is>
      </c>
      <c r="F80" s="10" t="inlineStr">
        <is>
          <t>slotting</t>
        </is>
      </c>
    </row>
    <row r="81">
      <c r="B81" s="16" t="inlineStr">
        <is>
          <t>warehouse.walk_speed_mps</t>
        </is>
      </c>
      <c r="C81" s="16" t="inlineStr">
        <is>
          <t>0.9</t>
        </is>
      </c>
      <c r="D81" s="16" t="inlineStr">
        <is>
          <t>m/s</t>
        </is>
      </c>
      <c r="E81" s="16" t="inlineStr">
        <is>
          <t>Picker walking speed with cart</t>
        </is>
      </c>
      <c r="F81" s="16" t="inlineStr">
        <is>
          <t>slotting, simulation</t>
        </is>
      </c>
    </row>
    <row r="82">
      <c r="B82" s="10" t="inlineStr">
        <is>
          <t>warehouse.picker_wage_per_hour</t>
        </is>
      </c>
      <c r="C82" s="10" t="inlineStr">
        <is>
          <t>185</t>
        </is>
      </c>
      <c r="D82" s="10" t="inlineStr">
        <is>
          <t>INR/h</t>
        </is>
      </c>
      <c r="E82" s="10" t="inlineStr">
        <is>
          <t>Loaded warehouse associate cost at Mumbai wage level</t>
        </is>
      </c>
      <c r="F82" s="10" t="inlineStr">
        <is>
          <t>slotting</t>
        </is>
      </c>
    </row>
    <row r="83">
      <c r="B83" s="16" t="inlineStr">
        <is>
          <t>simulation.replications</t>
        </is>
      </c>
      <c r="C83" s="16" t="inlineStr">
        <is>
          <t>200</t>
        </is>
      </c>
      <c r="D83" s="16" t="inlineStr">
        <is>
          <t>runs</t>
        </is>
      </c>
      <c r="E83" s="16" t="inlineStr">
        <is>
          <t>Monte Carlo replications per scenario</t>
        </is>
      </c>
      <c r="F83" s="16" t="inlineStr">
        <is>
          <t>simulation</t>
        </is>
      </c>
    </row>
    <row r="84">
      <c r="B84" s="10" t="inlineStr">
        <is>
          <t>simulation.cycle_time_target_min</t>
        </is>
      </c>
      <c r="C84" s="10" t="inlineStr">
        <is>
          <t>120</t>
        </is>
      </c>
      <c r="D84" s="10" t="inlineStr">
        <is>
          <t>min</t>
        </is>
      </c>
      <c r="E84" s="10" t="inlineStr">
        <is>
          <t>P95 order intake-to-dispatch target</t>
        </is>
      </c>
      <c r="F84" s="10" t="inlineStr">
        <is>
          <t>simulation</t>
        </is>
      </c>
    </row>
    <row r="85">
      <c r="B85" s="16" t="inlineStr">
        <is>
          <t>simulation.baseline_staffing</t>
        </is>
      </c>
      <c r="C85" s="16" t="inlineStr">
        <is>
          <t>{'pickers': 5, 'packers': 3, 'qc': 1, 'loaders': 2}</t>
        </is>
      </c>
      <c r="D85" s="16" t="inlineStr">
        <is>
          <t>heads/shift</t>
        </is>
      </c>
      <c r="E85" s="16" t="inlineStr">
        <is>
          <t>Current roster at volume_weight 1.0 (scaled per city)</t>
        </is>
      </c>
      <c r="F85" s="16" t="inlineStr">
        <is>
          <t>simulation</t>
        </is>
      </c>
    </row>
    <row r="86">
      <c r="B86" s="10" t="inlineStr">
        <is>
          <t>network.mfc_capex_inr</t>
        </is>
      </c>
      <c r="C86" s="10" t="inlineStr">
        <is>
          <t>6500000</t>
        </is>
      </c>
      <c r="D86" s="10" t="inlineStr">
        <is>
          <t>INR</t>
        </is>
      </c>
      <c r="E86" s="10" t="inlineStr">
        <is>
          <t>MFC fit-out, racking, IT, MHE and deposits</t>
        </is>
      </c>
      <c r="F86" s="10" t="inlineStr">
        <is>
          <t>network</t>
        </is>
      </c>
    </row>
    <row r="87">
      <c r="B87" s="16" t="inlineStr">
        <is>
          <t>network.mfc_area_sqft</t>
        </is>
      </c>
      <c r="C87" s="16" t="inlineStr">
        <is>
          <t>4500</t>
        </is>
      </c>
      <c r="D87" s="16" t="inlineStr">
        <is>
          <t>sqft</t>
        </is>
      </c>
      <c r="E87" s="16" t="inlineStr">
        <is>
          <t>Dark-store footprint</t>
        </is>
      </c>
      <c r="F87" s="16" t="inlineStr">
        <is>
          <t>network</t>
        </is>
      </c>
    </row>
    <row r="88">
      <c r="B88" s="10" t="inlineStr">
        <is>
          <t>network.mfc_staff_cost_per_year</t>
        </is>
      </c>
      <c r="C88" s="10" t="inlineStr">
        <is>
          <t>2100000</t>
        </is>
      </c>
      <c r="D88" s="10" t="inlineStr">
        <is>
          <t>INR/year</t>
        </is>
      </c>
      <c r="E88" s="10" t="inlineStr">
        <is>
          <t>MFC staffing (two shifts) at Mumbai wage level</t>
        </is>
      </c>
      <c r="F88" s="10" t="inlineStr">
        <is>
          <t>network</t>
        </is>
      </c>
    </row>
    <row r="89">
      <c r="B89" s="16" t="inlineStr">
        <is>
          <t>network.linehaul_cost_per_km</t>
        </is>
      </c>
      <c r="C89" s="16" t="inlineStr">
        <is>
          <t>32</t>
        </is>
      </c>
      <c r="D89" s="16" t="inlineStr">
        <is>
          <t>INR/km</t>
        </is>
      </c>
      <c r="E89" s="16" t="inlineStr">
        <is>
          <t>Replenishment truck cost DC to MFC</t>
        </is>
      </c>
      <c r="F89" s="16" t="inlineStr">
        <is>
          <t>network</t>
        </is>
      </c>
    </row>
    <row r="90">
      <c r="B90" s="10" t="inlineStr">
        <is>
          <t>network.wacc</t>
        </is>
      </c>
      <c r="C90" s="10" t="inlineStr">
        <is>
          <t>0.12</t>
        </is>
      </c>
      <c r="D90" s="10" t="inlineStr">
        <is>
          <t>share</t>
        </is>
      </c>
      <c r="E90" s="10" t="inlineStr">
        <is>
          <t>Discount rate for five-year NPV</t>
        </is>
      </c>
      <c r="F90" s="10" t="inlineStr">
        <is>
          <t>network</t>
        </is>
      </c>
    </row>
    <row r="91">
      <c r="B91" s="16" t="inlineStr">
        <is>
          <t>network.demand_growth</t>
        </is>
      </c>
      <c r="C91" s="16" t="inlineStr">
        <is>
          <t>0.18</t>
        </is>
      </c>
      <c r="D91" s="16" t="inlineStr">
        <is>
          <t>share/year</t>
        </is>
      </c>
      <c r="E91" s="16" t="inlineStr">
        <is>
          <t>E-commerce parcel volume growth</t>
        </is>
      </c>
      <c r="F91" s="16" t="inlineStr">
        <is>
          <t>network</t>
        </is>
      </c>
    </row>
    <row r="92">
      <c r="B92" s="10" t="inlineStr">
        <is>
          <t>network.sla_traffic_factor</t>
        </is>
      </c>
      <c r="C92" s="10" t="inlineStr">
        <is>
          <t>2.2</t>
        </is>
      </c>
      <c r="D92" s="10" t="inlineStr">
        <is>
          <t>multiplier</t>
        </is>
      </c>
      <c r="E92" s="10" t="inlineStr">
        <is>
          <t>Two-hour promise tested at evening-peak traffic</t>
        </is>
      </c>
      <c r="F92" s="10" t="inlineStr">
        <is>
          <t>network</t>
        </is>
      </c>
    </row>
    <row r="93">
      <c r="B93" s="16" t="inlineStr">
        <is>
          <t>network.sla_minutes</t>
        </is>
      </c>
      <c r="C93" s="16" t="inlineStr">
        <is>
          <t>120</t>
        </is>
      </c>
      <c r="D93" s="16" t="inlineStr">
        <is>
          <t>min</t>
        </is>
      </c>
      <c r="E93" s="16" t="inlineStr">
        <is>
          <t>Two-hour delivery promise</t>
        </is>
      </c>
      <c r="F93" s="16" t="inlineStr">
        <is>
          <t>network</t>
        </is>
      </c>
    </row>
    <row r="94" ht="26" customHeight="1">
      <c r="B94" s="26" t="inlineStr">
        <is>
          <t>Colour legend: blue font = editable input; black = formula or model output; green = link to another sheet. All figures are produced by the Python modules from the operational dataset.</t>
        </is>
      </c>
    </row>
  </sheetData>
  <mergeCells count="14">
    <mergeCell ref="F4:G4"/>
    <mergeCell ref="J4:K4"/>
    <mergeCell ref="L4:M4"/>
    <mergeCell ref="J5:K5"/>
    <mergeCell ref="B1:N1"/>
    <mergeCell ref="B5:C5"/>
    <mergeCell ref="B94:M94"/>
    <mergeCell ref="F5:G5"/>
    <mergeCell ref="D5:E5"/>
    <mergeCell ref="H5:I5"/>
    <mergeCell ref="D4:E4"/>
    <mergeCell ref="L5:M5"/>
    <mergeCell ref="H4:I4"/>
    <mergeCell ref="B4:C4"/>
  </mergeCells>
  <conditionalFormatting sqref="H9:H13">
    <cfRule type="dataBar" priority="1">
      <dataBar showValue="1">
        <cfvo type="min"/>
        <cfvo type="max"/>
        <color rgb="000E7C86"/>
      </dataBar>
    </cfRule>
  </conditionalFormatting>
  <conditionalFormatting sqref="F9:F13">
    <cfRule type="colorScale" priority="2">
      <colorScale>
        <cfvo type="min"/>
        <cfvo type="percentile" val="50"/>
        <cfvo type="max"/>
        <color rgb="00D7EEE0"/>
        <color rgb="00FFF6DD"/>
        <color rgb="00F8D9D6"/>
      </colorScale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P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2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60" customWidth="1" min="13" max="13"/>
    <col width="14" customWidth="1" min="14" max="14"/>
    <col width="14" customWidth="1" min="15" max="15"/>
    <col width="14" customWidth="1" min="16" max="16"/>
  </cols>
  <sheetData>
    <row r="1" ht="34" customHeight="1">
      <c r="A1" s="1" t="n"/>
      <c r="B1" s="2" t="inlineStr">
        <is>
          <t>Depot &amp; Vehicle Master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B2" s="3" t="inlineStr">
        <is>
          <t>15 depots (DC, MFC, hub per city) · 125 vehicles · vehicle economics</t>
        </is>
      </c>
    </row>
    <row r="4">
      <c r="B4" s="7" t="inlineStr">
        <is>
          <t>Depot master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30" customHeight="1">
      <c r="B5" s="9" t="inlineStr">
        <is>
          <t>Depot ID</t>
        </is>
      </c>
      <c r="C5" s="9" t="inlineStr">
        <is>
          <t>City</t>
        </is>
      </c>
      <c r="D5" s="9" t="inlineStr">
        <is>
          <t>State</t>
        </is>
      </c>
      <c r="E5" s="9" t="inlineStr">
        <is>
          <t>Role</t>
        </is>
      </c>
      <c r="F5" s="9" t="inlineStr">
        <is>
          <t>Depot</t>
        </is>
      </c>
      <c r="G5" s="9" t="inlineStr">
        <is>
          <t>Zone</t>
        </is>
      </c>
      <c r="H5" s="9" t="inlineStr">
        <is>
          <t>Lat</t>
        </is>
      </c>
      <c r="I5" s="9" t="inlineStr">
        <is>
          <t>Lon</t>
        </is>
      </c>
      <c r="J5" s="9" t="inlineStr">
        <is>
          <t>Vehicles</t>
        </is>
      </c>
      <c r="K5" s="9" t="inlineStr">
        <is>
          <t>Opens</t>
        </is>
      </c>
      <c r="L5" s="9" t="inlineStr">
        <is>
          <t>Closes</t>
        </is>
      </c>
    </row>
    <row r="6">
      <c r="B6" s="10" t="inlineStr">
        <is>
          <t>DEP-MUM-DC</t>
        </is>
      </c>
      <c r="C6" s="10" t="inlineStr">
        <is>
          <t>Mumbai MMR</t>
        </is>
      </c>
      <c r="D6" s="10" t="inlineStr">
        <is>
          <t>Maharashtra</t>
        </is>
      </c>
      <c r="E6" s="10" t="inlineStr">
        <is>
          <t>DC</t>
        </is>
      </c>
      <c r="F6" s="10" t="inlineStr">
        <is>
          <t>Bhiwandi DC</t>
        </is>
      </c>
      <c r="G6" s="10" t="inlineStr">
        <is>
          <t>Thane</t>
        </is>
      </c>
      <c r="H6" s="27" t="n">
        <v>19.2813</v>
      </c>
      <c r="I6" s="27" t="n">
        <v>73.0483</v>
      </c>
      <c r="J6" s="10" t="n">
        <v>10</v>
      </c>
      <c r="K6" s="10" t="inlineStr">
        <is>
          <t>07:00</t>
        </is>
      </c>
      <c r="L6" s="10" t="inlineStr">
        <is>
          <t>21:30</t>
        </is>
      </c>
    </row>
    <row r="7">
      <c r="B7" s="16" t="inlineStr">
        <is>
          <t>DEP-MUM-MFC</t>
        </is>
      </c>
      <c r="C7" s="16" t="inlineStr">
        <is>
          <t>Mumbai MMR</t>
        </is>
      </c>
      <c r="D7" s="16" t="inlineStr">
        <is>
          <t>Maharashtra</t>
        </is>
      </c>
      <c r="E7" s="16" t="inlineStr">
        <is>
          <t>MFC</t>
        </is>
      </c>
      <c r="F7" s="16" t="inlineStr">
        <is>
          <t>Andheri MFC</t>
        </is>
      </c>
      <c r="G7" s="16" t="inlineStr">
        <is>
          <t>Andheri</t>
        </is>
      </c>
      <c r="H7" s="28" t="n">
        <v>19.1176</v>
      </c>
      <c r="I7" s="28" t="n">
        <v>72.86969999999999</v>
      </c>
      <c r="J7" s="16" t="n">
        <v>7</v>
      </c>
      <c r="K7" s="16" t="inlineStr">
        <is>
          <t>07:00</t>
        </is>
      </c>
      <c r="L7" s="16" t="inlineStr">
        <is>
          <t>21:30</t>
        </is>
      </c>
    </row>
    <row r="8">
      <c r="B8" s="10" t="inlineStr">
        <is>
          <t>DEP-MUM-HUB</t>
        </is>
      </c>
      <c r="C8" s="10" t="inlineStr">
        <is>
          <t>Mumbai MMR</t>
        </is>
      </c>
      <c r="D8" s="10" t="inlineStr">
        <is>
          <t>Maharashtra</t>
        </is>
      </c>
      <c r="E8" s="10" t="inlineStr">
        <is>
          <t>HUB</t>
        </is>
      </c>
      <c r="F8" s="10" t="inlineStr">
        <is>
          <t>Navi Mumbai Hub</t>
        </is>
      </c>
      <c r="G8" s="10" t="inlineStr">
        <is>
          <t>Navi Mumbai</t>
        </is>
      </c>
      <c r="H8" s="27" t="n">
        <v>19.0745</v>
      </c>
      <c r="I8" s="27" t="n">
        <v>73.017</v>
      </c>
      <c r="J8" s="10" t="n">
        <v>8</v>
      </c>
      <c r="K8" s="10" t="inlineStr">
        <is>
          <t>07:00</t>
        </is>
      </c>
      <c r="L8" s="10" t="inlineStr">
        <is>
          <t>21:30</t>
        </is>
      </c>
    </row>
    <row r="9">
      <c r="B9" s="16" t="inlineStr">
        <is>
          <t>DEP-DEL-DC</t>
        </is>
      </c>
      <c r="C9" s="16" t="inlineStr">
        <is>
          <t>Delhi NCR</t>
        </is>
      </c>
      <c r="D9" s="16" t="inlineStr">
        <is>
          <t>Delhi / Haryana / Uttar Pradesh</t>
        </is>
      </c>
      <c r="E9" s="16" t="inlineStr">
        <is>
          <t>DC</t>
        </is>
      </c>
      <c r="F9" s="16" t="inlineStr">
        <is>
          <t>Gurugram Bilaspur DC</t>
        </is>
      </c>
      <c r="G9" s="16" t="inlineStr">
        <is>
          <t>Gurugram</t>
        </is>
      </c>
      <c r="H9" s="28" t="n">
        <v>28.312</v>
      </c>
      <c r="I9" s="28" t="n">
        <v>76.867</v>
      </c>
      <c r="J9" s="16" t="n">
        <v>10</v>
      </c>
      <c r="K9" s="16" t="inlineStr">
        <is>
          <t>07:00</t>
        </is>
      </c>
      <c r="L9" s="16" t="inlineStr">
        <is>
          <t>21:30</t>
        </is>
      </c>
    </row>
    <row r="10">
      <c r="B10" s="10" t="inlineStr">
        <is>
          <t>DEP-DEL-MFC</t>
        </is>
      </c>
      <c r="C10" s="10" t="inlineStr">
        <is>
          <t>Delhi NCR</t>
        </is>
      </c>
      <c r="D10" s="10" t="inlineStr">
        <is>
          <t>Delhi / Haryana / Uttar Pradesh</t>
        </is>
      </c>
      <c r="E10" s="10" t="inlineStr">
        <is>
          <t>MFC</t>
        </is>
      </c>
      <c r="F10" s="10" t="inlineStr">
        <is>
          <t>Okhla MFC</t>
        </is>
      </c>
      <c r="G10" s="10" t="inlineStr">
        <is>
          <t>South Delhi</t>
        </is>
      </c>
      <c r="H10" s="27" t="n">
        <v>28.535</v>
      </c>
      <c r="I10" s="27" t="n">
        <v>77.27800000000001</v>
      </c>
      <c r="J10" s="10" t="n">
        <v>7</v>
      </c>
      <c r="K10" s="10" t="inlineStr">
        <is>
          <t>07:00</t>
        </is>
      </c>
      <c r="L10" s="10" t="inlineStr">
        <is>
          <t>21:30</t>
        </is>
      </c>
    </row>
    <row r="11">
      <c r="B11" s="16" t="inlineStr">
        <is>
          <t>DEP-DEL-HUB</t>
        </is>
      </c>
      <c r="C11" s="16" t="inlineStr">
        <is>
          <t>Delhi NCR</t>
        </is>
      </c>
      <c r="D11" s="16" t="inlineStr">
        <is>
          <t>Delhi / Haryana / Uttar Pradesh</t>
        </is>
      </c>
      <c r="E11" s="16" t="inlineStr">
        <is>
          <t>HUB</t>
        </is>
      </c>
      <c r="F11" s="16" t="inlineStr">
        <is>
          <t>Noida Hub</t>
        </is>
      </c>
      <c r="G11" s="16" t="inlineStr">
        <is>
          <t>Noida</t>
        </is>
      </c>
      <c r="H11" s="28" t="n">
        <v>28.627</v>
      </c>
      <c r="I11" s="28" t="n">
        <v>77.377</v>
      </c>
      <c r="J11" s="16" t="n">
        <v>8</v>
      </c>
      <c r="K11" s="16" t="inlineStr">
        <is>
          <t>07:00</t>
        </is>
      </c>
      <c r="L11" s="16" t="inlineStr">
        <is>
          <t>21:30</t>
        </is>
      </c>
    </row>
    <row r="12">
      <c r="B12" s="10" t="inlineStr">
        <is>
          <t>DEP-BLR-DC</t>
        </is>
      </c>
      <c r="C12" s="10" t="inlineStr">
        <is>
          <t>Bengaluru</t>
        </is>
      </c>
      <c r="D12" s="10" t="inlineStr">
        <is>
          <t>Karnataka</t>
        </is>
      </c>
      <c r="E12" s="10" t="inlineStr">
        <is>
          <t>DC</t>
        </is>
      </c>
      <c r="F12" s="10" t="inlineStr">
        <is>
          <t>Hoskote DC</t>
        </is>
      </c>
      <c r="G12" s="10" t="inlineStr">
        <is>
          <t>East Bengaluru</t>
        </is>
      </c>
      <c r="H12" s="27" t="n">
        <v>13.07</v>
      </c>
      <c r="I12" s="27" t="n">
        <v>77.798</v>
      </c>
      <c r="J12" s="10" t="n">
        <v>10</v>
      </c>
      <c r="K12" s="10" t="inlineStr">
        <is>
          <t>07:00</t>
        </is>
      </c>
      <c r="L12" s="10" t="inlineStr">
        <is>
          <t>21:30</t>
        </is>
      </c>
    </row>
    <row r="13">
      <c r="B13" s="16" t="inlineStr">
        <is>
          <t>DEP-BLR-MFC</t>
        </is>
      </c>
      <c r="C13" s="16" t="inlineStr">
        <is>
          <t>Bengaluru</t>
        </is>
      </c>
      <c r="D13" s="16" t="inlineStr">
        <is>
          <t>Karnataka</t>
        </is>
      </c>
      <c r="E13" s="16" t="inlineStr">
        <is>
          <t>MFC</t>
        </is>
      </c>
      <c r="F13" s="16" t="inlineStr">
        <is>
          <t>Koramangala MFC</t>
        </is>
      </c>
      <c r="G13" s="16" t="inlineStr">
        <is>
          <t>South Bengaluru</t>
        </is>
      </c>
      <c r="H13" s="28" t="n">
        <v>12.935</v>
      </c>
      <c r="I13" s="28" t="n">
        <v>77.624</v>
      </c>
      <c r="J13" s="16" t="n">
        <v>7</v>
      </c>
      <c r="K13" s="16" t="inlineStr">
        <is>
          <t>07:00</t>
        </is>
      </c>
      <c r="L13" s="16" t="inlineStr">
        <is>
          <t>21:30</t>
        </is>
      </c>
    </row>
    <row r="14">
      <c r="B14" s="10" t="inlineStr">
        <is>
          <t>DEP-BLR-HUB</t>
        </is>
      </c>
      <c r="C14" s="10" t="inlineStr">
        <is>
          <t>Bengaluru</t>
        </is>
      </c>
      <c r="D14" s="10" t="inlineStr">
        <is>
          <t>Karnataka</t>
        </is>
      </c>
      <c r="E14" s="10" t="inlineStr">
        <is>
          <t>HUB</t>
        </is>
      </c>
      <c r="F14" s="10" t="inlineStr">
        <is>
          <t>Peenya Hub</t>
        </is>
      </c>
      <c r="G14" s="10" t="inlineStr">
        <is>
          <t>West Bengaluru</t>
        </is>
      </c>
      <c r="H14" s="27" t="n">
        <v>13.03</v>
      </c>
      <c r="I14" s="27" t="n">
        <v>77.52</v>
      </c>
      <c r="J14" s="10" t="n">
        <v>8</v>
      </c>
      <c r="K14" s="10" t="inlineStr">
        <is>
          <t>07:00</t>
        </is>
      </c>
      <c r="L14" s="10" t="inlineStr">
        <is>
          <t>21:30</t>
        </is>
      </c>
    </row>
    <row r="15">
      <c r="B15" s="16" t="inlineStr">
        <is>
          <t>DEP-CHE-DC</t>
        </is>
      </c>
      <c r="C15" s="16" t="inlineStr">
        <is>
          <t>Chennai</t>
        </is>
      </c>
      <c r="D15" s="16" t="inlineStr">
        <is>
          <t>Tamil Nadu</t>
        </is>
      </c>
      <c r="E15" s="16" t="inlineStr">
        <is>
          <t>DC</t>
        </is>
      </c>
      <c r="F15" s="16" t="inlineStr">
        <is>
          <t>Sriperumbudur DC</t>
        </is>
      </c>
      <c r="G15" s="16" t="inlineStr">
        <is>
          <t>West Chennai</t>
        </is>
      </c>
      <c r="H15" s="28" t="n">
        <v>12.968</v>
      </c>
      <c r="I15" s="28" t="n">
        <v>79.946</v>
      </c>
      <c r="J15" s="16" t="n">
        <v>10</v>
      </c>
      <c r="K15" s="16" t="inlineStr">
        <is>
          <t>07:00</t>
        </is>
      </c>
      <c r="L15" s="16" t="inlineStr">
        <is>
          <t>21:30</t>
        </is>
      </c>
    </row>
    <row r="16">
      <c r="B16" s="10" t="inlineStr">
        <is>
          <t>DEP-CHE-MFC</t>
        </is>
      </c>
      <c r="C16" s="10" t="inlineStr">
        <is>
          <t>Chennai</t>
        </is>
      </c>
      <c r="D16" s="10" t="inlineStr">
        <is>
          <t>Tamil Nadu</t>
        </is>
      </c>
      <c r="E16" s="10" t="inlineStr">
        <is>
          <t>MFC</t>
        </is>
      </c>
      <c r="F16" s="10" t="inlineStr">
        <is>
          <t>Guindy MFC</t>
        </is>
      </c>
      <c r="G16" s="10" t="inlineStr">
        <is>
          <t>South Chennai</t>
        </is>
      </c>
      <c r="H16" s="27" t="n">
        <v>13.007</v>
      </c>
      <c r="I16" s="27" t="n">
        <v>80.21299999999999</v>
      </c>
      <c r="J16" s="10" t="n">
        <v>7</v>
      </c>
      <c r="K16" s="10" t="inlineStr">
        <is>
          <t>07:00</t>
        </is>
      </c>
      <c r="L16" s="10" t="inlineStr">
        <is>
          <t>21:30</t>
        </is>
      </c>
    </row>
    <row r="17">
      <c r="B17" s="16" t="inlineStr">
        <is>
          <t>DEP-CHE-HUB</t>
        </is>
      </c>
      <c r="C17" s="16" t="inlineStr">
        <is>
          <t>Chennai</t>
        </is>
      </c>
      <c r="D17" s="16" t="inlineStr">
        <is>
          <t>Tamil Nadu</t>
        </is>
      </c>
      <c r="E17" s="16" t="inlineStr">
        <is>
          <t>HUB</t>
        </is>
      </c>
      <c r="F17" s="16" t="inlineStr">
        <is>
          <t>Ambattur Hub</t>
        </is>
      </c>
      <c r="G17" s="16" t="inlineStr">
        <is>
          <t>North Chennai</t>
        </is>
      </c>
      <c r="H17" s="28" t="n">
        <v>13.114</v>
      </c>
      <c r="I17" s="28" t="n">
        <v>80.155</v>
      </c>
      <c r="J17" s="16" t="n">
        <v>8</v>
      </c>
      <c r="K17" s="16" t="inlineStr">
        <is>
          <t>07:00</t>
        </is>
      </c>
      <c r="L17" s="16" t="inlineStr">
        <is>
          <t>21:30</t>
        </is>
      </c>
    </row>
    <row r="18">
      <c r="B18" s="10" t="inlineStr">
        <is>
          <t>DEP-KOL-DC</t>
        </is>
      </c>
      <c r="C18" s="10" t="inlineStr">
        <is>
          <t>Kolkata</t>
        </is>
      </c>
      <c r="D18" s="10" t="inlineStr">
        <is>
          <t>West Bengal</t>
        </is>
      </c>
      <c r="E18" s="10" t="inlineStr">
        <is>
          <t>DC</t>
        </is>
      </c>
      <c r="F18" s="10" t="inlineStr">
        <is>
          <t>Dankuni DC</t>
        </is>
      </c>
      <c r="G18" s="10" t="inlineStr">
        <is>
          <t>Howrah</t>
        </is>
      </c>
      <c r="H18" s="27" t="n">
        <v>22.68</v>
      </c>
      <c r="I18" s="27" t="n">
        <v>88.29300000000001</v>
      </c>
      <c r="J18" s="10" t="n">
        <v>10</v>
      </c>
      <c r="K18" s="10" t="inlineStr">
        <is>
          <t>07:00</t>
        </is>
      </c>
      <c r="L18" s="10" t="inlineStr">
        <is>
          <t>21:30</t>
        </is>
      </c>
    </row>
    <row r="19">
      <c r="B19" s="16" t="inlineStr">
        <is>
          <t>DEP-KOL-MFC</t>
        </is>
      </c>
      <c r="C19" s="16" t="inlineStr">
        <is>
          <t>Kolkata</t>
        </is>
      </c>
      <c r="D19" s="16" t="inlineStr">
        <is>
          <t>West Bengal</t>
        </is>
      </c>
      <c r="E19" s="16" t="inlineStr">
        <is>
          <t>MFC</t>
        </is>
      </c>
      <c r="F19" s="16" t="inlineStr">
        <is>
          <t>Salt Lake Sector V MFC</t>
        </is>
      </c>
      <c r="G19" s="16" t="inlineStr">
        <is>
          <t>East Kolkata</t>
        </is>
      </c>
      <c r="H19" s="28" t="n">
        <v>22.5726</v>
      </c>
      <c r="I19" s="28" t="n">
        <v>88.43389999999999</v>
      </c>
      <c r="J19" s="16" t="n">
        <v>7</v>
      </c>
      <c r="K19" s="16" t="inlineStr">
        <is>
          <t>07:00</t>
        </is>
      </c>
      <c r="L19" s="16" t="inlineStr">
        <is>
          <t>21:30</t>
        </is>
      </c>
    </row>
    <row r="20">
      <c r="B20" s="10" t="inlineStr">
        <is>
          <t>DEP-KOL-HUB</t>
        </is>
      </c>
      <c r="C20" s="10" t="inlineStr">
        <is>
          <t>Kolkata</t>
        </is>
      </c>
      <c r="D20" s="10" t="inlineStr">
        <is>
          <t>West Bengal</t>
        </is>
      </c>
      <c r="E20" s="10" t="inlineStr">
        <is>
          <t>HUB</t>
        </is>
      </c>
      <c r="F20" s="10" t="inlineStr">
        <is>
          <t>Howrah Hub</t>
        </is>
      </c>
      <c r="G20" s="10" t="inlineStr">
        <is>
          <t>Howrah</t>
        </is>
      </c>
      <c r="H20" s="27" t="n">
        <v>22.595</v>
      </c>
      <c r="I20" s="27" t="n">
        <v>88.26300000000001</v>
      </c>
      <c r="J20" s="10" t="n">
        <v>8</v>
      </c>
      <c r="K20" s="10" t="inlineStr">
        <is>
          <t>07:00</t>
        </is>
      </c>
      <c r="L20" s="10" t="inlineStr">
        <is>
          <t>21:30</t>
        </is>
      </c>
    </row>
    <row r="23">
      <c r="B23" s="7" t="inlineStr">
        <is>
          <t>Vehicle types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B24" s="22" t="inlineStr">
        <is>
          <t>Driver wages are scaled by each city's wage index in the vehicle master.</t>
        </is>
      </c>
    </row>
    <row r="25" ht="30" customHeight="1">
      <c r="B25" s="9" t="inlineStr">
        <is>
          <t>Type</t>
        </is>
      </c>
      <c r="C25" s="9" t="inlineStr">
        <is>
          <t>Label</t>
        </is>
      </c>
      <c r="D25" s="9" t="inlineStr">
        <is>
          <t>Capacity kg</t>
        </is>
      </c>
      <c r="E25" s="9" t="inlineStr">
        <is>
          <t>Speed km/h</t>
        </is>
      </c>
      <c r="F25" s="9" t="inlineStr">
        <is>
          <t>₹ / km</t>
        </is>
      </c>
      <c r="G25" s="9" t="inlineStr">
        <is>
          <t>Fixed ₹ / day</t>
        </is>
      </c>
      <c r="H25" s="9" t="inlineStr">
        <is>
          <t>Driver ₹ / h (MUM)</t>
        </is>
      </c>
      <c r="I25" s="9" t="inlineStr">
        <is>
          <t>Duty min</t>
        </is>
      </c>
      <c r="J25" s="9" t="inlineStr">
        <is>
          <t>Max parcel kg</t>
        </is>
      </c>
      <c r="K25" s="9" t="inlineStr">
        <is>
          <t>Acquisition ₹</t>
        </is>
      </c>
      <c r="L25" s="9" t="inlineStr">
        <is>
          <t>Lease ₹ / month</t>
        </is>
      </c>
      <c r="M25" s="9" t="inlineStr">
        <is>
          <t>Restricted zones</t>
        </is>
      </c>
    </row>
    <row r="26">
      <c r="B26" s="10" t="inlineStr">
        <is>
          <t>VAN_2T</t>
        </is>
      </c>
      <c r="C26" s="10" t="inlineStr">
        <is>
          <t>2-ton van</t>
        </is>
      </c>
      <c r="D26" s="13" t="n">
        <v>2000</v>
      </c>
      <c r="E26" s="10" t="n">
        <v>26</v>
      </c>
      <c r="F26" s="29" t="n">
        <v>18</v>
      </c>
      <c r="G26" s="30" t="n">
        <v>2800</v>
      </c>
      <c r="H26" s="30" t="n">
        <v>230</v>
      </c>
      <c r="I26" s="10" t="n">
        <v>600</v>
      </c>
      <c r="J26" s="10" t="n">
        <v>2000</v>
      </c>
      <c r="K26" s="30" t="n">
        <v>2400000</v>
      </c>
      <c r="L26" s="30" t="n">
        <v>62000</v>
      </c>
      <c r="M26" s="10" t="inlineStr">
        <is>
          <t>South Mumbai;Central Delhi;Central Bengaluru;Central Chennai;Central Kolkata</t>
        </is>
      </c>
    </row>
    <row r="27">
      <c r="B27" s="16" t="inlineStr">
        <is>
          <t>TEMPO_1T</t>
        </is>
      </c>
      <c r="C27" s="16" t="inlineStr">
        <is>
          <t>1-ton tempo</t>
        </is>
      </c>
      <c r="D27" s="19" t="n">
        <v>1000</v>
      </c>
      <c r="E27" s="16" t="n">
        <v>28</v>
      </c>
      <c r="F27" s="31" t="n">
        <v>13</v>
      </c>
      <c r="G27" s="32" t="n">
        <v>1900</v>
      </c>
      <c r="H27" s="32" t="n">
        <v>210</v>
      </c>
      <c r="I27" s="16" t="n">
        <v>600</v>
      </c>
      <c r="J27" s="16" t="n">
        <v>1000</v>
      </c>
      <c r="K27" s="32" t="n">
        <v>1050000</v>
      </c>
      <c r="L27" s="32" t="n">
        <v>31000</v>
      </c>
      <c r="M27" s="16" t="inlineStr"/>
    </row>
    <row r="28">
      <c r="B28" s="10" t="inlineStr">
        <is>
          <t>TWO_WHEELER</t>
        </is>
      </c>
      <c r="C28" s="10" t="inlineStr">
        <is>
          <t>2-wheeler</t>
        </is>
      </c>
      <c r="D28" s="13" t="n">
        <v>40</v>
      </c>
      <c r="E28" s="10" t="n">
        <v>30</v>
      </c>
      <c r="F28" s="29" t="n">
        <v>3.5</v>
      </c>
      <c r="G28" s="30" t="n">
        <v>450</v>
      </c>
      <c r="H28" s="30" t="n">
        <v>160</v>
      </c>
      <c r="I28" s="10" t="n">
        <v>480</v>
      </c>
      <c r="J28" s="10" t="n">
        <v>15</v>
      </c>
      <c r="K28" s="30" t="n">
        <v>115000</v>
      </c>
      <c r="L28" s="30" t="n">
        <v>4200</v>
      </c>
      <c r="M28" s="10" t="inlineStr"/>
    </row>
    <row r="31">
      <c r="B31" s="7" t="inlineStr">
        <is>
          <t>Fleet by city and type (current)</t>
        </is>
      </c>
      <c r="C31" s="8" t="n"/>
      <c r="D31" s="8" t="n"/>
      <c r="E31" s="8" t="n"/>
      <c r="F31" s="8" t="n"/>
      <c r="G31" s="8" t="n"/>
    </row>
    <row r="33" ht="30" customHeight="1">
      <c r="B33" s="9" t="inlineStr">
        <is>
          <t>City</t>
        </is>
      </c>
      <c r="C33" s="9" t="inlineStr">
        <is>
          <t>TEMPO_1T</t>
        </is>
      </c>
      <c r="D33" s="9" t="inlineStr">
        <is>
          <t>TWO_WHEELER</t>
        </is>
      </c>
      <c r="E33" s="9" t="inlineStr">
        <is>
          <t>VAN_2T</t>
        </is>
      </c>
    </row>
    <row r="34">
      <c r="B34" s="10" t="inlineStr">
        <is>
          <t>Mumbai MMR</t>
        </is>
      </c>
      <c r="C34" s="13" t="n">
        <v>10</v>
      </c>
      <c r="D34" s="13" t="n">
        <v>5</v>
      </c>
      <c r="E34" s="13" t="n">
        <v>10</v>
      </c>
    </row>
    <row r="35">
      <c r="B35" s="16" t="inlineStr">
        <is>
          <t>Delhi NCR</t>
        </is>
      </c>
      <c r="C35" s="19" t="n">
        <v>10</v>
      </c>
      <c r="D35" s="19" t="n">
        <v>5</v>
      </c>
      <c r="E35" s="19" t="n">
        <v>10</v>
      </c>
    </row>
    <row r="36">
      <c r="B36" s="10" t="inlineStr">
        <is>
          <t>Bengaluru</t>
        </is>
      </c>
      <c r="C36" s="13" t="n">
        <v>10</v>
      </c>
      <c r="D36" s="13" t="n">
        <v>5</v>
      </c>
      <c r="E36" s="13" t="n">
        <v>10</v>
      </c>
    </row>
    <row r="37">
      <c r="B37" s="16" t="inlineStr">
        <is>
          <t>Chennai</t>
        </is>
      </c>
      <c r="C37" s="19" t="n">
        <v>10</v>
      </c>
      <c r="D37" s="19" t="n">
        <v>5</v>
      </c>
      <c r="E37" s="19" t="n">
        <v>10</v>
      </c>
    </row>
    <row r="38">
      <c r="B38" s="10" t="inlineStr">
        <is>
          <t>Kolkata</t>
        </is>
      </c>
      <c r="C38" s="13" t="n">
        <v>10</v>
      </c>
      <c r="D38" s="13" t="n">
        <v>5</v>
      </c>
      <c r="E38" s="13" t="n">
        <v>10</v>
      </c>
    </row>
  </sheetData>
  <mergeCells count="1">
    <mergeCell ref="B1:P1"/>
  </mergeCells>
  <conditionalFormatting sqref="J6:J20">
    <cfRule type="dataBar" priority="1">
      <dataBar showValue="1">
        <cfvo type="min"/>
        <cfvo type="max"/>
        <color rgb="000E7C86"/>
      </dataBar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R1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n"/>
      <c r="B1" s="2" t="inlineStr">
        <is>
          <t>Order &amp; Demand Profile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" customHeight="1">
      <c r="B2" s="3" t="inlineStr">
        <is>
          <t>Daily volume by city with national and regional events, segment mix and weekly heat</t>
        </is>
      </c>
    </row>
    <row r="4" ht="30" customHeight="1">
      <c r="B4" s="4" t="n">
        <v>104195</v>
      </c>
      <c r="C4" s="5" t="n"/>
      <c r="D4" s="5" t="n"/>
      <c r="E4" s="33" t="n">
        <v>1157.722222222222</v>
      </c>
      <c r="F4" s="5" t="n"/>
      <c r="G4" s="5" t="n"/>
      <c r="H4" s="4" t="n">
        <v>2206</v>
      </c>
      <c r="I4" s="5" t="n"/>
      <c r="J4" s="5" t="n"/>
      <c r="K4" s="34" t="n">
        <v>1.728660609876765</v>
      </c>
      <c r="L4" s="5" t="n"/>
      <c r="M4" s="5" t="n"/>
    </row>
    <row r="5" ht="26" customHeight="1">
      <c r="B5" s="6" t="inlineStr">
        <is>
          <t>Orders, 90 days</t>
        </is>
      </c>
      <c r="C5" s="5" t="n"/>
      <c r="D5" s="5" t="n"/>
      <c r="E5" s="6" t="inlineStr">
        <is>
          <t>Average orders / day</t>
        </is>
      </c>
      <c r="F5" s="5" t="n"/>
      <c r="G5" s="5" t="n"/>
      <c r="H5" s="6" t="inlineStr">
        <is>
          <t>Peak day (2025-10-13)</t>
        </is>
      </c>
      <c r="I5" s="5" t="n"/>
      <c r="J5" s="5" t="n"/>
      <c r="K5" s="35" t="inlineStr">
        <is>
          <t>Diwali-peak uplift vs normal days</t>
        </is>
      </c>
      <c r="L5" s="5" t="n"/>
      <c r="M5" s="5" t="n"/>
    </row>
    <row r="7">
      <c r="B7" s="7" t="inlineStr">
        <is>
          <t>Daily orders by city</t>
        </is>
      </c>
      <c r="C7" s="8" t="n"/>
      <c r="D7" s="8" t="n"/>
      <c r="E7" s="8" t="n"/>
      <c r="F7" s="8" t="n"/>
      <c r="G7" s="8" t="n"/>
      <c r="H7" s="8" t="n"/>
      <c r="I7" s="8" t="n"/>
    </row>
    <row r="8" ht="30" customHeight="1">
      <c r="B8" s="9" t="inlineStr">
        <is>
          <t>Date</t>
        </is>
      </c>
      <c r="C8" s="9" t="inlineStr">
        <is>
          <t>Mumbai MMR</t>
        </is>
      </c>
      <c r="D8" s="9" t="inlineStr">
        <is>
          <t>Delhi NCR</t>
        </is>
      </c>
      <c r="E8" s="9" t="inlineStr">
        <is>
          <t>Bengaluru</t>
        </is>
      </c>
      <c r="F8" s="9" t="inlineStr">
        <is>
          <t>Chennai</t>
        </is>
      </c>
      <c r="G8" s="9" t="inlineStr">
        <is>
          <t>Kolkata</t>
        </is>
      </c>
      <c r="H8" s="9" t="inlineStr">
        <is>
          <t>All cities</t>
        </is>
      </c>
    </row>
    <row r="9">
      <c r="B9" s="14" t="n">
        <v>45901</v>
      </c>
      <c r="C9" s="13" t="n">
        <v>269</v>
      </c>
      <c r="D9" s="13" t="n">
        <v>275</v>
      </c>
      <c r="E9" s="13" t="n">
        <v>244</v>
      </c>
      <c r="F9" s="13" t="n">
        <v>226</v>
      </c>
      <c r="G9" s="13" t="n">
        <v>164</v>
      </c>
      <c r="H9" s="13" t="n">
        <v>1178</v>
      </c>
    </row>
    <row r="10">
      <c r="B10" s="20" t="n">
        <v>45902</v>
      </c>
      <c r="C10" s="19" t="n">
        <v>285</v>
      </c>
      <c r="D10" s="19" t="n">
        <v>293</v>
      </c>
      <c r="E10" s="19" t="n">
        <v>230</v>
      </c>
      <c r="F10" s="19" t="n">
        <v>190</v>
      </c>
      <c r="G10" s="19" t="n">
        <v>164</v>
      </c>
      <c r="H10" s="19" t="n">
        <v>1162</v>
      </c>
    </row>
    <row r="11">
      <c r="B11" s="14" t="n">
        <v>45903</v>
      </c>
      <c r="C11" s="13" t="n">
        <v>270</v>
      </c>
      <c r="D11" s="13" t="n">
        <v>282</v>
      </c>
      <c r="E11" s="13" t="n">
        <v>194</v>
      </c>
      <c r="F11" s="13" t="n">
        <v>177</v>
      </c>
      <c r="G11" s="13" t="n">
        <v>139</v>
      </c>
      <c r="H11" s="13" t="n">
        <v>1062</v>
      </c>
    </row>
    <row r="12">
      <c r="B12" s="20" t="n">
        <v>45904</v>
      </c>
      <c r="C12" s="19" t="n">
        <v>278</v>
      </c>
      <c r="D12" s="19" t="n">
        <v>263</v>
      </c>
      <c r="E12" s="19" t="n">
        <v>226</v>
      </c>
      <c r="F12" s="19" t="n">
        <v>207</v>
      </c>
      <c r="G12" s="19" t="n">
        <v>150</v>
      </c>
      <c r="H12" s="19" t="n">
        <v>1124</v>
      </c>
    </row>
    <row r="13">
      <c r="B13" s="14" t="n">
        <v>45905</v>
      </c>
      <c r="C13" s="13" t="n">
        <v>250</v>
      </c>
      <c r="D13" s="13" t="n">
        <v>282</v>
      </c>
      <c r="E13" s="13" t="n">
        <v>218</v>
      </c>
      <c r="F13" s="13" t="n">
        <v>173</v>
      </c>
      <c r="G13" s="13" t="n">
        <v>152</v>
      </c>
      <c r="H13" s="13" t="n">
        <v>1075</v>
      </c>
    </row>
    <row r="14">
      <c r="B14" s="20" t="n">
        <v>45906</v>
      </c>
      <c r="C14" s="19" t="n">
        <v>157</v>
      </c>
      <c r="D14" s="19" t="n">
        <v>242</v>
      </c>
      <c r="E14" s="19" t="n">
        <v>217</v>
      </c>
      <c r="F14" s="19" t="n">
        <v>154</v>
      </c>
      <c r="G14" s="19" t="n">
        <v>130</v>
      </c>
      <c r="H14" s="19" t="n">
        <v>900</v>
      </c>
    </row>
    <row r="15">
      <c r="B15" s="14" t="n">
        <v>45907</v>
      </c>
      <c r="C15" s="13" t="n">
        <v>163</v>
      </c>
      <c r="D15" s="13" t="n">
        <v>178</v>
      </c>
      <c r="E15" s="13" t="n">
        <v>148</v>
      </c>
      <c r="F15" s="13" t="n">
        <v>126</v>
      </c>
      <c r="G15" s="13" t="n">
        <v>94</v>
      </c>
      <c r="H15" s="13" t="n">
        <v>709</v>
      </c>
    </row>
    <row r="16">
      <c r="B16" s="20" t="n">
        <v>45908</v>
      </c>
      <c r="C16" s="19" t="n">
        <v>304</v>
      </c>
      <c r="D16" s="19" t="n">
        <v>296</v>
      </c>
      <c r="E16" s="19" t="n">
        <v>225</v>
      </c>
      <c r="F16" s="19" t="n">
        <v>180</v>
      </c>
      <c r="G16" s="19" t="n">
        <v>170</v>
      </c>
      <c r="H16" s="19" t="n">
        <v>1175</v>
      </c>
    </row>
    <row r="17">
      <c r="B17" s="14" t="n">
        <v>45909</v>
      </c>
      <c r="C17" s="13" t="n">
        <v>266</v>
      </c>
      <c r="D17" s="13" t="n">
        <v>282</v>
      </c>
      <c r="E17" s="13" t="n">
        <v>238</v>
      </c>
      <c r="F17" s="13" t="n">
        <v>177</v>
      </c>
      <c r="G17" s="13" t="n">
        <v>169</v>
      </c>
      <c r="H17" s="13" t="n">
        <v>1132</v>
      </c>
    </row>
    <row r="18">
      <c r="B18" s="20" t="n">
        <v>45910</v>
      </c>
      <c r="C18" s="19" t="n">
        <v>283</v>
      </c>
      <c r="D18" s="19" t="n">
        <v>266</v>
      </c>
      <c r="E18" s="19" t="n">
        <v>214</v>
      </c>
      <c r="F18" s="19" t="n">
        <v>201</v>
      </c>
      <c r="G18" s="19" t="n">
        <v>145</v>
      </c>
      <c r="H18" s="19" t="n">
        <v>1109</v>
      </c>
    </row>
    <row r="19">
      <c r="B19" s="14" t="n">
        <v>45911</v>
      </c>
      <c r="C19" s="13" t="n">
        <v>282</v>
      </c>
      <c r="D19" s="13" t="n">
        <v>256</v>
      </c>
      <c r="E19" s="13" t="n">
        <v>208</v>
      </c>
      <c r="F19" s="13" t="n">
        <v>170</v>
      </c>
      <c r="G19" s="13" t="n">
        <v>151</v>
      </c>
      <c r="H19" s="13" t="n">
        <v>1067</v>
      </c>
    </row>
    <row r="20">
      <c r="B20" s="20" t="n">
        <v>45912</v>
      </c>
      <c r="C20" s="19" t="n">
        <v>284</v>
      </c>
      <c r="D20" s="19" t="n">
        <v>291</v>
      </c>
      <c r="E20" s="19" t="n">
        <v>220</v>
      </c>
      <c r="F20" s="19" t="n">
        <v>180</v>
      </c>
      <c r="G20" s="19" t="n">
        <v>145</v>
      </c>
      <c r="H20" s="19" t="n">
        <v>1120</v>
      </c>
    </row>
    <row r="21">
      <c r="B21" s="14" t="n">
        <v>45913</v>
      </c>
      <c r="C21" s="13" t="n">
        <v>208</v>
      </c>
      <c r="D21" s="13" t="n">
        <v>224</v>
      </c>
      <c r="E21" s="13" t="n">
        <v>200</v>
      </c>
      <c r="F21" s="13" t="n">
        <v>156</v>
      </c>
      <c r="G21" s="13" t="n">
        <v>141</v>
      </c>
      <c r="H21" s="13" t="n">
        <v>929</v>
      </c>
    </row>
    <row r="22">
      <c r="B22" s="20" t="n">
        <v>45914</v>
      </c>
      <c r="C22" s="19" t="n">
        <v>151</v>
      </c>
      <c r="D22" s="19" t="n">
        <v>169</v>
      </c>
      <c r="E22" s="19" t="n">
        <v>136</v>
      </c>
      <c r="F22" s="19" t="n">
        <v>120</v>
      </c>
      <c r="G22" s="19" t="n">
        <v>94</v>
      </c>
      <c r="H22" s="19" t="n">
        <v>670</v>
      </c>
    </row>
    <row r="23">
      <c r="B23" s="14" t="n">
        <v>45915</v>
      </c>
      <c r="C23" s="13" t="n">
        <v>257</v>
      </c>
      <c r="D23" s="13" t="n">
        <v>293</v>
      </c>
      <c r="E23" s="13" t="n">
        <v>252</v>
      </c>
      <c r="F23" s="13" t="n">
        <v>181</v>
      </c>
      <c r="G23" s="13" t="n">
        <v>176</v>
      </c>
      <c r="H23" s="13" t="n">
        <v>1159</v>
      </c>
    </row>
    <row r="24">
      <c r="B24" s="20" t="n">
        <v>45916</v>
      </c>
      <c r="C24" s="19" t="n">
        <v>277</v>
      </c>
      <c r="D24" s="19" t="n">
        <v>311</v>
      </c>
      <c r="E24" s="19" t="n">
        <v>203</v>
      </c>
      <c r="F24" s="19" t="n">
        <v>161</v>
      </c>
      <c r="G24" s="19" t="n">
        <v>165</v>
      </c>
      <c r="H24" s="19" t="n">
        <v>1117</v>
      </c>
    </row>
    <row r="25">
      <c r="B25" s="14" t="n">
        <v>45917</v>
      </c>
      <c r="C25" s="13" t="n">
        <v>265</v>
      </c>
      <c r="D25" s="13" t="n">
        <v>267</v>
      </c>
      <c r="E25" s="13" t="n">
        <v>247</v>
      </c>
      <c r="F25" s="13" t="n">
        <v>205</v>
      </c>
      <c r="G25" s="13" t="n">
        <v>153</v>
      </c>
      <c r="H25" s="13" t="n">
        <v>1137</v>
      </c>
    </row>
    <row r="26">
      <c r="B26" s="20" t="n">
        <v>45918</v>
      </c>
      <c r="C26" s="19" t="n">
        <v>242</v>
      </c>
      <c r="D26" s="19" t="n">
        <v>296</v>
      </c>
      <c r="E26" s="19" t="n">
        <v>207</v>
      </c>
      <c r="F26" s="19" t="n">
        <v>148</v>
      </c>
      <c r="G26" s="19" t="n">
        <v>139</v>
      </c>
      <c r="H26" s="19" t="n">
        <v>1032</v>
      </c>
    </row>
    <row r="27">
      <c r="B27" s="14" t="n">
        <v>45919</v>
      </c>
      <c r="C27" s="13" t="n">
        <v>276</v>
      </c>
      <c r="D27" s="13" t="n">
        <v>288</v>
      </c>
      <c r="E27" s="13" t="n">
        <v>256</v>
      </c>
      <c r="F27" s="13" t="n">
        <v>187</v>
      </c>
      <c r="G27" s="13" t="n">
        <v>166</v>
      </c>
      <c r="H27" s="13" t="n">
        <v>1173</v>
      </c>
    </row>
    <row r="28">
      <c r="B28" s="20" t="n">
        <v>45920</v>
      </c>
      <c r="C28" s="19" t="n">
        <v>228</v>
      </c>
      <c r="D28" s="19" t="n">
        <v>233</v>
      </c>
      <c r="E28" s="19" t="n">
        <v>172</v>
      </c>
      <c r="F28" s="19" t="n">
        <v>156</v>
      </c>
      <c r="G28" s="19" t="n">
        <v>144</v>
      </c>
      <c r="H28" s="19" t="n">
        <v>933</v>
      </c>
      <c r="K28" s="7" t="inlineStr">
        <is>
          <t>Trend by city</t>
        </is>
      </c>
      <c r="L28" s="8" t="n"/>
      <c r="M28" s="8" t="n"/>
      <c r="N28" s="8" t="n"/>
      <c r="O28" s="8" t="n"/>
      <c r="P28" s="8" t="n"/>
      <c r="Q28" s="8" t="n"/>
    </row>
    <row r="29">
      <c r="B29" s="14" t="n">
        <v>45921</v>
      </c>
      <c r="C29" s="13" t="n">
        <v>161</v>
      </c>
      <c r="D29" s="13" t="n">
        <v>179</v>
      </c>
      <c r="E29" s="13" t="n">
        <v>103</v>
      </c>
      <c r="F29" s="13" t="n">
        <v>108</v>
      </c>
      <c r="G29" s="13" t="n">
        <v>102</v>
      </c>
      <c r="H29" s="13" t="n">
        <v>653</v>
      </c>
      <c r="K29" s="36" t="inlineStr">
        <is>
          <t>City</t>
        </is>
      </c>
      <c r="L29" s="36" t="inlineStr">
        <is>
          <t>90-day trend</t>
        </is>
      </c>
      <c r="M29" s="36" t="inlineStr">
        <is>
          <t>Min</t>
        </is>
      </c>
      <c r="N29" s="36" t="inlineStr">
        <is>
          <t>Average</t>
        </is>
      </c>
      <c r="O29" s="36" t="inlineStr">
        <is>
          <t>Max</t>
        </is>
      </c>
      <c r="P29" s="36" t="inlineStr">
        <is>
          <t>Peak date</t>
        </is>
      </c>
    </row>
    <row r="30" ht="22" customHeight="1">
      <c r="B30" s="20" t="n">
        <v>45922</v>
      </c>
      <c r="C30" s="19" t="n">
        <v>314</v>
      </c>
      <c r="D30" s="19" t="n">
        <v>306</v>
      </c>
      <c r="E30" s="19" t="n">
        <v>241</v>
      </c>
      <c r="F30" s="19" t="n">
        <v>204</v>
      </c>
      <c r="G30" s="19" t="n">
        <v>170</v>
      </c>
      <c r="H30" s="19" t="n">
        <v>1235</v>
      </c>
      <c r="K30" s="37" t="inlineStr">
        <is>
          <t>Mumbai MMR</t>
        </is>
      </c>
      <c r="M30" s="38">
        <f>MIN(C9:C98)</f>
        <v/>
      </c>
      <c r="N30" s="39">
        <f>AVERAGE(C9:C98)</f>
        <v/>
      </c>
      <c r="O30" s="38">
        <f>MAX(C9:C98)</f>
        <v/>
      </c>
      <c r="P30" s="40">
        <f>INDEX($B$9:$B$98,MATCH(MAX(C9:C98),C9:C98,0))</f>
        <v/>
      </c>
    </row>
    <row r="31" ht="22" customHeight="1">
      <c r="B31" s="14" t="n">
        <v>45923</v>
      </c>
      <c r="C31" s="13" t="n">
        <v>379</v>
      </c>
      <c r="D31" s="13" t="n">
        <v>398</v>
      </c>
      <c r="E31" s="13" t="n">
        <v>350</v>
      </c>
      <c r="F31" s="13" t="n">
        <v>267</v>
      </c>
      <c r="G31" s="13" t="n">
        <v>226</v>
      </c>
      <c r="H31" s="13" t="n">
        <v>1620</v>
      </c>
      <c r="K31" s="37" t="inlineStr">
        <is>
          <t>Delhi NCR</t>
        </is>
      </c>
      <c r="M31" s="38">
        <f>MIN(D9:D98)</f>
        <v/>
      </c>
      <c r="N31" s="39">
        <f>AVERAGE(D9:D98)</f>
        <v/>
      </c>
      <c r="O31" s="38">
        <f>MAX(D9:D98)</f>
        <v/>
      </c>
      <c r="P31" s="40">
        <f>INDEX($B$9:$B$98,MATCH(MAX(D9:D98),D9:D98,0))</f>
        <v/>
      </c>
    </row>
    <row r="32" ht="22" customHeight="1">
      <c r="B32" s="20" t="n">
        <v>45924</v>
      </c>
      <c r="C32" s="19" t="n">
        <v>372</v>
      </c>
      <c r="D32" s="19" t="n">
        <v>394</v>
      </c>
      <c r="E32" s="19" t="n">
        <v>311</v>
      </c>
      <c r="F32" s="19" t="n">
        <v>250</v>
      </c>
      <c r="G32" s="19" t="n">
        <v>240</v>
      </c>
      <c r="H32" s="19" t="n">
        <v>1567</v>
      </c>
      <c r="K32" s="37" t="inlineStr">
        <is>
          <t>Bengaluru</t>
        </is>
      </c>
      <c r="M32" s="38">
        <f>MIN(E9:E98)</f>
        <v/>
      </c>
      <c r="N32" s="39">
        <f>AVERAGE(E9:E98)</f>
        <v/>
      </c>
      <c r="O32" s="38">
        <f>MAX(E9:E98)</f>
        <v/>
      </c>
      <c r="P32" s="40">
        <f>INDEX($B$9:$B$98,MATCH(MAX(E9:E98),E9:E98,0))</f>
        <v/>
      </c>
    </row>
    <row r="33" ht="22" customHeight="1">
      <c r="B33" s="14" t="n">
        <v>45925</v>
      </c>
      <c r="C33" s="13" t="n">
        <v>379</v>
      </c>
      <c r="D33" s="13" t="n">
        <v>386</v>
      </c>
      <c r="E33" s="13" t="n">
        <v>318</v>
      </c>
      <c r="F33" s="13" t="n">
        <v>262</v>
      </c>
      <c r="G33" s="13" t="n">
        <v>225</v>
      </c>
      <c r="H33" s="13" t="n">
        <v>1570</v>
      </c>
      <c r="K33" s="37" t="inlineStr">
        <is>
          <t>Chennai</t>
        </is>
      </c>
      <c r="M33" s="38">
        <f>MIN(F9:F98)</f>
        <v/>
      </c>
      <c r="N33" s="39">
        <f>AVERAGE(F9:F98)</f>
        <v/>
      </c>
      <c r="O33" s="38">
        <f>MAX(F9:F98)</f>
        <v/>
      </c>
      <c r="P33" s="40">
        <f>INDEX($B$9:$B$98,MATCH(MAX(F9:F98),F9:F98,0))</f>
        <v/>
      </c>
    </row>
    <row r="34" ht="22" customHeight="1">
      <c r="B34" s="20" t="n">
        <v>45926</v>
      </c>
      <c r="C34" s="19" t="n">
        <v>396</v>
      </c>
      <c r="D34" s="19" t="n">
        <v>434</v>
      </c>
      <c r="E34" s="19" t="n">
        <v>299</v>
      </c>
      <c r="F34" s="19" t="n">
        <v>236</v>
      </c>
      <c r="G34" s="19" t="n">
        <v>218</v>
      </c>
      <c r="H34" s="19" t="n">
        <v>1583</v>
      </c>
      <c r="K34" s="37" t="inlineStr">
        <is>
          <t>Kolkata</t>
        </is>
      </c>
      <c r="M34" s="38">
        <f>MIN(G9:G98)</f>
        <v/>
      </c>
      <c r="N34" s="39">
        <f>AVERAGE(G9:G98)</f>
        <v/>
      </c>
      <c r="O34" s="38">
        <f>MAX(G9:G98)</f>
        <v/>
      </c>
      <c r="P34" s="40">
        <f>INDEX($B$9:$B$98,MATCH(MAX(G9:G98),G9:G98,0))</f>
        <v/>
      </c>
    </row>
    <row r="35" ht="22" customHeight="1">
      <c r="B35" s="14" t="n">
        <v>45927</v>
      </c>
      <c r="C35" s="13" t="n">
        <v>346</v>
      </c>
      <c r="D35" s="13" t="n">
        <v>365</v>
      </c>
      <c r="E35" s="13" t="n">
        <v>278</v>
      </c>
      <c r="F35" s="13" t="n">
        <v>249</v>
      </c>
      <c r="G35" s="13" t="n">
        <v>175</v>
      </c>
      <c r="H35" s="13" t="n">
        <v>1413</v>
      </c>
      <c r="K35" s="37" t="inlineStr">
        <is>
          <t>All cities</t>
        </is>
      </c>
      <c r="M35" s="38">
        <f>MIN(H9:H98)</f>
        <v/>
      </c>
      <c r="N35" s="39">
        <f>AVERAGE(H9:H98)</f>
        <v/>
      </c>
      <c r="O35" s="38">
        <f>MAX(H9:H98)</f>
        <v/>
      </c>
      <c r="P35" s="40">
        <f>INDEX($B$9:$B$98,MATCH(MAX(H9:H98),H9:H98,0))</f>
        <v/>
      </c>
    </row>
    <row r="36">
      <c r="B36" s="20" t="n">
        <v>45928</v>
      </c>
      <c r="C36" s="19" t="n">
        <v>234</v>
      </c>
      <c r="D36" s="19" t="n">
        <v>261</v>
      </c>
      <c r="E36" s="19" t="n">
        <v>182</v>
      </c>
      <c r="F36" s="19" t="n">
        <v>157</v>
      </c>
      <c r="G36" s="19" t="n">
        <v>115</v>
      </c>
      <c r="H36" s="19" t="n">
        <v>949</v>
      </c>
    </row>
    <row r="37">
      <c r="B37" s="14" t="n">
        <v>45929</v>
      </c>
      <c r="C37" s="13" t="n">
        <v>390</v>
      </c>
      <c r="D37" s="13" t="n">
        <v>454</v>
      </c>
      <c r="E37" s="13" t="n">
        <v>359</v>
      </c>
      <c r="F37" s="13" t="n">
        <v>257</v>
      </c>
      <c r="G37" s="13" t="n">
        <v>144</v>
      </c>
      <c r="H37" s="13" t="n">
        <v>1604</v>
      </c>
    </row>
    <row r="38">
      <c r="B38" s="20" t="n">
        <v>45930</v>
      </c>
      <c r="C38" s="19" t="n">
        <v>415</v>
      </c>
      <c r="D38" s="19" t="n">
        <v>386</v>
      </c>
      <c r="E38" s="19" t="n">
        <v>304</v>
      </c>
      <c r="F38" s="19" t="n">
        <v>283</v>
      </c>
      <c r="G38" s="19" t="n">
        <v>141</v>
      </c>
      <c r="H38" s="19" t="n">
        <v>1529</v>
      </c>
      <c r="K38" s="7" t="inlineStr">
        <is>
          <t>Segment mix by city (share of orders)</t>
        </is>
      </c>
      <c r="L38" s="8" t="n"/>
      <c r="M38" s="8" t="n"/>
      <c r="N38" s="8" t="n"/>
      <c r="O38" s="8" t="n"/>
      <c r="P38" s="8" t="n"/>
      <c r="Q38" s="8" t="n"/>
    </row>
    <row r="39" ht="30" customHeight="1">
      <c r="B39" s="14" t="n">
        <v>45931</v>
      </c>
      <c r="C39" s="13" t="n">
        <v>360</v>
      </c>
      <c r="D39" s="13" t="n">
        <v>417</v>
      </c>
      <c r="E39" s="13" t="n">
        <v>271</v>
      </c>
      <c r="F39" s="13" t="n">
        <v>198</v>
      </c>
      <c r="G39" s="13" t="n">
        <v>150</v>
      </c>
      <c r="H39" s="13" t="n">
        <v>1396</v>
      </c>
      <c r="K39" s="9" t="inlineStr">
        <is>
          <t>City</t>
        </is>
      </c>
      <c r="L39" s="9" t="inlineStr">
        <is>
          <t>AUTOMOTIVE</t>
        </is>
      </c>
      <c r="M39" s="9" t="inlineStr">
        <is>
          <t>ECOM_B2C</t>
        </is>
      </c>
      <c r="N39" s="9" t="inlineStr">
        <is>
          <t>FMCG_RETAIL</t>
        </is>
      </c>
      <c r="O39" s="9" t="inlineStr">
        <is>
          <t>MODERN_RETAIL</t>
        </is>
      </c>
    </row>
    <row r="40">
      <c r="B40" s="20" t="n">
        <v>45932</v>
      </c>
      <c r="C40" s="19" t="n">
        <v>239</v>
      </c>
      <c r="D40" s="19" t="n">
        <v>279</v>
      </c>
      <c r="E40" s="19" t="n">
        <v>209</v>
      </c>
      <c r="F40" s="19" t="n">
        <v>172</v>
      </c>
      <c r="G40" s="19" t="n">
        <v>103</v>
      </c>
      <c r="H40" s="19" t="n">
        <v>1002</v>
      </c>
      <c r="K40" s="10" t="inlineStr">
        <is>
          <t>Mumbai MMR</t>
        </is>
      </c>
      <c r="L40" s="15" t="n">
        <v>0.09828293693478347</v>
      </c>
      <c r="M40" s="15" t="n">
        <v>0.6582606270666508</v>
      </c>
      <c r="N40" s="15" t="n">
        <v>0.1511891956495757</v>
      </c>
      <c r="O40" s="15" t="n">
        <v>0.09226724034899007</v>
      </c>
    </row>
    <row r="41">
      <c r="B41" s="14" t="n">
        <v>45933</v>
      </c>
      <c r="C41" s="13" t="n">
        <v>396</v>
      </c>
      <c r="D41" s="13" t="n">
        <v>393</v>
      </c>
      <c r="E41" s="13" t="n">
        <v>352</v>
      </c>
      <c r="F41" s="13" t="n">
        <v>273</v>
      </c>
      <c r="G41" s="13" t="n">
        <v>201</v>
      </c>
      <c r="H41" s="13" t="n">
        <v>1615</v>
      </c>
      <c r="K41" s="16" t="inlineStr">
        <is>
          <t>Delhi NCR</t>
        </is>
      </c>
      <c r="L41" s="21" t="n">
        <v>0.0984983843375784</v>
      </c>
      <c r="M41" s="21" t="n">
        <v>0.6634099980992206</v>
      </c>
      <c r="N41" s="21" t="n">
        <v>0.1511499714883102</v>
      </c>
      <c r="O41" s="21" t="n">
        <v>0.0869416460748907</v>
      </c>
    </row>
    <row r="42">
      <c r="B42" s="20" t="n">
        <v>45934</v>
      </c>
      <c r="C42" s="19" t="n">
        <v>322</v>
      </c>
      <c r="D42" s="19" t="n">
        <v>340</v>
      </c>
      <c r="E42" s="19" t="n">
        <v>305</v>
      </c>
      <c r="F42" s="19" t="n">
        <v>229</v>
      </c>
      <c r="G42" s="19" t="n">
        <v>186</v>
      </c>
      <c r="H42" s="19" t="n">
        <v>1382</v>
      </c>
      <c r="K42" s="10" t="inlineStr">
        <is>
          <t>Bengaluru</t>
        </is>
      </c>
      <c r="L42" s="15" t="n">
        <v>0.09979555935910236</v>
      </c>
      <c r="M42" s="15" t="n">
        <v>0.6593923833975182</v>
      </c>
      <c r="N42" s="15" t="n">
        <v>0.152046783625731</v>
      </c>
      <c r="O42" s="15" t="n">
        <v>0.08876527361764845</v>
      </c>
    </row>
    <row r="43">
      <c r="B43" s="14" t="n">
        <v>45935</v>
      </c>
      <c r="C43" s="13" t="n">
        <v>215</v>
      </c>
      <c r="D43" s="13" t="n">
        <v>236</v>
      </c>
      <c r="E43" s="13" t="n">
        <v>207</v>
      </c>
      <c r="F43" s="13" t="n">
        <v>185</v>
      </c>
      <c r="G43" s="13" t="n">
        <v>139</v>
      </c>
      <c r="H43" s="13" t="n">
        <v>982</v>
      </c>
      <c r="K43" s="16" t="inlineStr">
        <is>
          <t>Chennai</t>
        </is>
      </c>
      <c r="L43" s="21" t="n">
        <v>0.09930394431554525</v>
      </c>
      <c r="M43" s="21" t="n">
        <v>0.6627030162412993</v>
      </c>
      <c r="N43" s="21" t="n">
        <v>0.1466357308584687</v>
      </c>
      <c r="O43" s="21" t="n">
        <v>0.09135730858468677</v>
      </c>
    </row>
    <row r="44">
      <c r="B44" s="20" t="n">
        <v>45936</v>
      </c>
      <c r="C44" s="19" t="n">
        <v>289</v>
      </c>
      <c r="D44" s="19" t="n">
        <v>329</v>
      </c>
      <c r="E44" s="19" t="n">
        <v>294</v>
      </c>
      <c r="F44" s="19" t="n">
        <v>224</v>
      </c>
      <c r="G44" s="19" t="n">
        <v>171</v>
      </c>
      <c r="H44" s="19" t="n">
        <v>1307</v>
      </c>
      <c r="K44" s="10" t="inlineStr">
        <is>
          <t>Kolkata</t>
        </is>
      </c>
      <c r="L44" s="15" t="n">
        <v>0.09968310829429596</v>
      </c>
      <c r="M44" s="15" t="n">
        <v>0.6603058693855056</v>
      </c>
      <c r="N44" s="15" t="n">
        <v>0.1523835767429044</v>
      </c>
      <c r="O44" s="15" t="n">
        <v>0.08762744557729402</v>
      </c>
    </row>
    <row r="45">
      <c r="B45" s="14" t="n">
        <v>45937</v>
      </c>
      <c r="C45" s="13" t="n">
        <v>292</v>
      </c>
      <c r="D45" s="13" t="n">
        <v>316</v>
      </c>
      <c r="E45" s="13" t="n">
        <v>256</v>
      </c>
      <c r="F45" s="13" t="n">
        <v>188</v>
      </c>
      <c r="G45" s="13" t="n">
        <v>181</v>
      </c>
      <c r="H45" s="13" t="n">
        <v>1233</v>
      </c>
    </row>
    <row r="46">
      <c r="B46" s="20" t="n">
        <v>45938</v>
      </c>
      <c r="C46" s="19" t="n">
        <v>284</v>
      </c>
      <c r="D46" s="19" t="n">
        <v>295</v>
      </c>
      <c r="E46" s="19" t="n">
        <v>238</v>
      </c>
      <c r="F46" s="19" t="n">
        <v>217</v>
      </c>
      <c r="G46" s="19" t="n">
        <v>181</v>
      </c>
      <c r="H46" s="19" t="n">
        <v>1215</v>
      </c>
    </row>
    <row r="47">
      <c r="B47" s="14" t="n">
        <v>45939</v>
      </c>
      <c r="C47" s="13" t="n">
        <v>239</v>
      </c>
      <c r="D47" s="13" t="n">
        <v>300</v>
      </c>
      <c r="E47" s="13" t="n">
        <v>229</v>
      </c>
      <c r="F47" s="13" t="n">
        <v>175</v>
      </c>
      <c r="G47" s="13" t="n">
        <v>172</v>
      </c>
      <c r="H47" s="13" t="n">
        <v>1115</v>
      </c>
    </row>
    <row r="48">
      <c r="B48" s="20" t="n">
        <v>45940</v>
      </c>
      <c r="C48" s="19" t="n">
        <v>461</v>
      </c>
      <c r="D48" s="19" t="n">
        <v>496</v>
      </c>
      <c r="E48" s="19" t="n">
        <v>397</v>
      </c>
      <c r="F48" s="19" t="n">
        <v>294</v>
      </c>
      <c r="G48" s="19" t="n">
        <v>257</v>
      </c>
      <c r="H48" s="19" t="n">
        <v>1905</v>
      </c>
    </row>
    <row r="49">
      <c r="B49" s="14" t="n">
        <v>45941</v>
      </c>
      <c r="C49" s="13" t="n">
        <v>432</v>
      </c>
      <c r="D49" s="13" t="n">
        <v>430</v>
      </c>
      <c r="E49" s="13" t="n">
        <v>337</v>
      </c>
      <c r="F49" s="13" t="n">
        <v>305</v>
      </c>
      <c r="G49" s="13" t="n">
        <v>243</v>
      </c>
      <c r="H49" s="13" t="n">
        <v>1747</v>
      </c>
    </row>
    <row r="50">
      <c r="B50" s="20" t="n">
        <v>45942</v>
      </c>
      <c r="C50" s="19" t="n">
        <v>314</v>
      </c>
      <c r="D50" s="19" t="n">
        <v>324</v>
      </c>
      <c r="E50" s="19" t="n">
        <v>259</v>
      </c>
      <c r="F50" s="19" t="n">
        <v>201</v>
      </c>
      <c r="G50" s="19" t="n">
        <v>157</v>
      </c>
      <c r="H50" s="19" t="n">
        <v>1255</v>
      </c>
    </row>
    <row r="51">
      <c r="B51" s="14" t="n">
        <v>45943</v>
      </c>
      <c r="C51" s="13" t="n">
        <v>554</v>
      </c>
      <c r="D51" s="13" t="n">
        <v>505</v>
      </c>
      <c r="E51" s="13" t="n">
        <v>430</v>
      </c>
      <c r="F51" s="13" t="n">
        <v>368</v>
      </c>
      <c r="G51" s="13" t="n">
        <v>349</v>
      </c>
      <c r="H51" s="13" t="n">
        <v>2206</v>
      </c>
    </row>
    <row r="52">
      <c r="B52" s="20" t="n">
        <v>45944</v>
      </c>
      <c r="C52" s="19" t="n">
        <v>483</v>
      </c>
      <c r="D52" s="19" t="n">
        <v>521</v>
      </c>
      <c r="E52" s="19" t="n">
        <v>382</v>
      </c>
      <c r="F52" s="19" t="n">
        <v>355</v>
      </c>
      <c r="G52" s="19" t="n">
        <v>296</v>
      </c>
      <c r="H52" s="19" t="n">
        <v>2037</v>
      </c>
    </row>
    <row r="53">
      <c r="B53" s="14" t="n">
        <v>45945</v>
      </c>
      <c r="C53" s="13" t="n">
        <v>470</v>
      </c>
      <c r="D53" s="13" t="n">
        <v>478</v>
      </c>
      <c r="E53" s="13" t="n">
        <v>408</v>
      </c>
      <c r="F53" s="13" t="n">
        <v>307</v>
      </c>
      <c r="G53" s="13" t="n">
        <v>270</v>
      </c>
      <c r="H53" s="13" t="n">
        <v>1933</v>
      </c>
    </row>
    <row r="54">
      <c r="B54" s="20" t="n">
        <v>45946</v>
      </c>
      <c r="C54" s="19" t="n">
        <v>465</v>
      </c>
      <c r="D54" s="19" t="n">
        <v>452</v>
      </c>
      <c r="E54" s="19" t="n">
        <v>377</v>
      </c>
      <c r="F54" s="19" t="n">
        <v>325</v>
      </c>
      <c r="G54" s="19" t="n">
        <v>283</v>
      </c>
      <c r="H54" s="19" t="n">
        <v>1902</v>
      </c>
    </row>
    <row r="55">
      <c r="B55" s="14" t="n">
        <v>45947</v>
      </c>
      <c r="C55" s="13" t="n">
        <v>449</v>
      </c>
      <c r="D55" s="13" t="n">
        <v>524</v>
      </c>
      <c r="E55" s="13" t="n">
        <v>379</v>
      </c>
      <c r="F55" s="13" t="n">
        <v>300</v>
      </c>
      <c r="G55" s="13" t="n">
        <v>262</v>
      </c>
      <c r="H55" s="13" t="n">
        <v>1914</v>
      </c>
    </row>
    <row r="56">
      <c r="B56" s="20" t="n">
        <v>45948</v>
      </c>
      <c r="C56" s="19" t="n">
        <v>381</v>
      </c>
      <c r="D56" s="19" t="n">
        <v>428</v>
      </c>
      <c r="E56" s="19" t="n">
        <v>323</v>
      </c>
      <c r="F56" s="19" t="n">
        <v>265</v>
      </c>
      <c r="G56" s="19" t="n">
        <v>231</v>
      </c>
      <c r="H56" s="19" t="n">
        <v>1628</v>
      </c>
    </row>
    <row r="57">
      <c r="B57" s="14" t="n">
        <v>45949</v>
      </c>
      <c r="C57" s="13" t="n">
        <v>327</v>
      </c>
      <c r="D57" s="13" t="n">
        <v>310</v>
      </c>
      <c r="E57" s="13" t="n">
        <v>263</v>
      </c>
      <c r="F57" s="13" t="n">
        <v>215</v>
      </c>
      <c r="G57" s="13" t="n">
        <v>152</v>
      </c>
      <c r="H57" s="13" t="n">
        <v>1267</v>
      </c>
    </row>
    <row r="58">
      <c r="B58" s="20" t="n">
        <v>45950</v>
      </c>
      <c r="C58" s="19" t="n">
        <v>166</v>
      </c>
      <c r="D58" s="19" t="n">
        <v>175</v>
      </c>
      <c r="E58" s="19" t="n">
        <v>117</v>
      </c>
      <c r="F58" s="19" t="n">
        <v>85</v>
      </c>
      <c r="G58" s="19" t="n">
        <v>94</v>
      </c>
      <c r="H58" s="19" t="n">
        <v>637</v>
      </c>
    </row>
    <row r="59">
      <c r="B59" s="14" t="n">
        <v>45951</v>
      </c>
      <c r="C59" s="13" t="n">
        <v>143</v>
      </c>
      <c r="D59" s="13" t="n">
        <v>166</v>
      </c>
      <c r="E59" s="13" t="n">
        <v>130</v>
      </c>
      <c r="F59" s="13" t="n">
        <v>112</v>
      </c>
      <c r="G59" s="13" t="n">
        <v>82</v>
      </c>
      <c r="H59" s="13" t="n">
        <v>633</v>
      </c>
    </row>
    <row r="60">
      <c r="B60" s="20" t="n">
        <v>45952</v>
      </c>
      <c r="C60" s="19" t="n">
        <v>169</v>
      </c>
      <c r="D60" s="19" t="n">
        <v>147</v>
      </c>
      <c r="E60" s="19" t="n">
        <v>121</v>
      </c>
      <c r="F60" s="19" t="n">
        <v>105</v>
      </c>
      <c r="G60" s="19" t="n">
        <v>80</v>
      </c>
      <c r="H60" s="19" t="n">
        <v>622</v>
      </c>
    </row>
    <row r="61">
      <c r="B61" s="14" t="n">
        <v>45953</v>
      </c>
      <c r="C61" s="13" t="n">
        <v>138</v>
      </c>
      <c r="D61" s="13" t="n">
        <v>161</v>
      </c>
      <c r="E61" s="13" t="n">
        <v>132</v>
      </c>
      <c r="F61" s="13" t="n">
        <v>94</v>
      </c>
      <c r="G61" s="13" t="n">
        <v>103</v>
      </c>
      <c r="H61" s="13" t="n">
        <v>628</v>
      </c>
    </row>
    <row r="62">
      <c r="B62" s="20" t="n">
        <v>45954</v>
      </c>
      <c r="C62" s="19" t="n">
        <v>236</v>
      </c>
      <c r="D62" s="19" t="n">
        <v>280</v>
      </c>
      <c r="E62" s="19" t="n">
        <v>224</v>
      </c>
      <c r="F62" s="19" t="n">
        <v>179</v>
      </c>
      <c r="G62" s="19" t="n">
        <v>159</v>
      </c>
      <c r="H62" s="19" t="n">
        <v>1078</v>
      </c>
    </row>
    <row r="63">
      <c r="B63" s="14" t="n">
        <v>45955</v>
      </c>
      <c r="C63" s="13" t="n">
        <v>231</v>
      </c>
      <c r="D63" s="13" t="n">
        <v>248</v>
      </c>
      <c r="E63" s="13" t="n">
        <v>211</v>
      </c>
      <c r="F63" s="13" t="n">
        <v>139</v>
      </c>
      <c r="G63" s="13" t="n">
        <v>142</v>
      </c>
      <c r="H63" s="13" t="n">
        <v>971</v>
      </c>
    </row>
    <row r="64">
      <c r="B64" s="20" t="n">
        <v>45956</v>
      </c>
      <c r="C64" s="19" t="n">
        <v>176</v>
      </c>
      <c r="D64" s="19" t="n">
        <v>180</v>
      </c>
      <c r="E64" s="19" t="n">
        <v>129</v>
      </c>
      <c r="F64" s="19" t="n">
        <v>105</v>
      </c>
      <c r="G64" s="19" t="n">
        <v>95</v>
      </c>
      <c r="H64" s="19" t="n">
        <v>685</v>
      </c>
    </row>
    <row r="65">
      <c r="B65" s="14" t="n">
        <v>45957</v>
      </c>
      <c r="C65" s="13" t="n">
        <v>268</v>
      </c>
      <c r="D65" s="13" t="n">
        <v>239</v>
      </c>
      <c r="E65" s="13" t="n">
        <v>224</v>
      </c>
      <c r="F65" s="13" t="n">
        <v>212</v>
      </c>
      <c r="G65" s="13" t="n">
        <v>165</v>
      </c>
      <c r="H65" s="13" t="n">
        <v>1108</v>
      </c>
    </row>
    <row r="66">
      <c r="B66" s="20" t="n">
        <v>45958</v>
      </c>
      <c r="C66" s="19" t="n">
        <v>268</v>
      </c>
      <c r="D66" s="19" t="n">
        <v>211</v>
      </c>
      <c r="E66" s="19" t="n">
        <v>247</v>
      </c>
      <c r="F66" s="19" t="n">
        <v>183</v>
      </c>
      <c r="G66" s="19" t="n">
        <v>150</v>
      </c>
      <c r="H66" s="19" t="n">
        <v>1059</v>
      </c>
    </row>
    <row r="67">
      <c r="B67" s="14" t="n">
        <v>45959</v>
      </c>
      <c r="C67" s="13" t="n">
        <v>246</v>
      </c>
      <c r="D67" s="13" t="n">
        <v>280</v>
      </c>
      <c r="E67" s="13" t="n">
        <v>203</v>
      </c>
      <c r="F67" s="13" t="n">
        <v>163</v>
      </c>
      <c r="G67" s="13" t="n">
        <v>151</v>
      </c>
      <c r="H67" s="13" t="n">
        <v>1043</v>
      </c>
    </row>
    <row r="68">
      <c r="B68" s="20" t="n">
        <v>45960</v>
      </c>
      <c r="C68" s="19" t="n">
        <v>242</v>
      </c>
      <c r="D68" s="19" t="n">
        <v>281</v>
      </c>
      <c r="E68" s="19" t="n">
        <v>213</v>
      </c>
      <c r="F68" s="19" t="n">
        <v>185</v>
      </c>
      <c r="G68" s="19" t="n">
        <v>166</v>
      </c>
      <c r="H68" s="19" t="n">
        <v>1087</v>
      </c>
    </row>
    <row r="69">
      <c r="B69" s="14" t="n">
        <v>45961</v>
      </c>
      <c r="C69" s="13" t="n">
        <v>243</v>
      </c>
      <c r="D69" s="13" t="n">
        <v>274</v>
      </c>
      <c r="E69" s="13" t="n">
        <v>215</v>
      </c>
      <c r="F69" s="13" t="n">
        <v>181</v>
      </c>
      <c r="G69" s="13" t="n">
        <v>182</v>
      </c>
      <c r="H69" s="13" t="n">
        <v>1095</v>
      </c>
    </row>
    <row r="70">
      <c r="B70" s="20" t="n">
        <v>45962</v>
      </c>
      <c r="C70" s="19" t="n">
        <v>242</v>
      </c>
      <c r="D70" s="19" t="n">
        <v>234</v>
      </c>
      <c r="E70" s="19" t="n">
        <v>136</v>
      </c>
      <c r="F70" s="19" t="n">
        <v>160</v>
      </c>
      <c r="G70" s="19" t="n">
        <v>140</v>
      </c>
      <c r="H70" s="19" t="n">
        <v>912</v>
      </c>
    </row>
    <row r="71">
      <c r="B71" s="14" t="n">
        <v>45963</v>
      </c>
      <c r="C71" s="13" t="n">
        <v>159</v>
      </c>
      <c r="D71" s="13" t="n">
        <v>170</v>
      </c>
      <c r="E71" s="13" t="n">
        <v>122</v>
      </c>
      <c r="F71" s="13" t="n">
        <v>128</v>
      </c>
      <c r="G71" s="13" t="n">
        <v>97</v>
      </c>
      <c r="H71" s="13" t="n">
        <v>676</v>
      </c>
    </row>
    <row r="72">
      <c r="B72" s="20" t="n">
        <v>45964</v>
      </c>
      <c r="C72" s="19" t="n">
        <v>305</v>
      </c>
      <c r="D72" s="19" t="n">
        <v>282</v>
      </c>
      <c r="E72" s="19" t="n">
        <v>238</v>
      </c>
      <c r="F72" s="19" t="n">
        <v>170</v>
      </c>
      <c r="G72" s="19" t="n">
        <v>151</v>
      </c>
      <c r="H72" s="19" t="n">
        <v>1146</v>
      </c>
    </row>
    <row r="73">
      <c r="B73" s="14" t="n">
        <v>45965</v>
      </c>
      <c r="C73" s="13" t="n">
        <v>290</v>
      </c>
      <c r="D73" s="13" t="n">
        <v>286</v>
      </c>
      <c r="E73" s="13" t="n">
        <v>226</v>
      </c>
      <c r="F73" s="13" t="n">
        <v>169</v>
      </c>
      <c r="G73" s="13" t="n">
        <v>179</v>
      </c>
      <c r="H73" s="13" t="n">
        <v>1150</v>
      </c>
    </row>
    <row r="74">
      <c r="B74" s="20" t="n">
        <v>45966</v>
      </c>
      <c r="C74" s="19" t="n">
        <v>240</v>
      </c>
      <c r="D74" s="19" t="n">
        <v>303</v>
      </c>
      <c r="E74" s="19" t="n">
        <v>223</v>
      </c>
      <c r="F74" s="19" t="n">
        <v>187</v>
      </c>
      <c r="G74" s="19" t="n">
        <v>144</v>
      </c>
      <c r="H74" s="19" t="n">
        <v>1097</v>
      </c>
    </row>
    <row r="75">
      <c r="B75" s="14" t="n">
        <v>45967</v>
      </c>
      <c r="C75" s="13" t="n">
        <v>270</v>
      </c>
      <c r="D75" s="13" t="n">
        <v>313</v>
      </c>
      <c r="E75" s="13" t="n">
        <v>228</v>
      </c>
      <c r="F75" s="13" t="n">
        <v>214</v>
      </c>
      <c r="G75" s="13" t="n">
        <v>191</v>
      </c>
      <c r="H75" s="13" t="n">
        <v>1216</v>
      </c>
    </row>
    <row r="76">
      <c r="B76" s="20" t="n">
        <v>45968</v>
      </c>
      <c r="C76" s="19" t="n">
        <v>267</v>
      </c>
      <c r="D76" s="19" t="n">
        <v>257</v>
      </c>
      <c r="E76" s="19" t="n">
        <v>251</v>
      </c>
      <c r="F76" s="19" t="n">
        <v>189</v>
      </c>
      <c r="G76" s="19" t="n">
        <v>132</v>
      </c>
      <c r="H76" s="19" t="n">
        <v>1096</v>
      </c>
    </row>
    <row r="77">
      <c r="B77" s="14" t="n">
        <v>45969</v>
      </c>
      <c r="C77" s="13" t="n">
        <v>222</v>
      </c>
      <c r="D77" s="13" t="n">
        <v>219</v>
      </c>
      <c r="E77" s="13" t="n">
        <v>163</v>
      </c>
      <c r="F77" s="13" t="n">
        <v>162</v>
      </c>
      <c r="G77" s="13" t="n">
        <v>125</v>
      </c>
      <c r="H77" s="13" t="n">
        <v>891</v>
      </c>
    </row>
    <row r="78">
      <c r="B78" s="20" t="n">
        <v>45970</v>
      </c>
      <c r="C78" s="19" t="n">
        <v>151</v>
      </c>
      <c r="D78" s="19" t="n">
        <v>165</v>
      </c>
      <c r="E78" s="19" t="n">
        <v>134</v>
      </c>
      <c r="F78" s="19" t="n">
        <v>125</v>
      </c>
      <c r="G78" s="19" t="n">
        <v>84</v>
      </c>
      <c r="H78" s="19" t="n">
        <v>659</v>
      </c>
    </row>
    <row r="79">
      <c r="B79" s="14" t="n">
        <v>45971</v>
      </c>
      <c r="C79" s="13" t="n">
        <v>288</v>
      </c>
      <c r="D79" s="13" t="n">
        <v>271</v>
      </c>
      <c r="E79" s="13" t="n">
        <v>242</v>
      </c>
      <c r="F79" s="13" t="n">
        <v>190</v>
      </c>
      <c r="G79" s="13" t="n">
        <v>169</v>
      </c>
      <c r="H79" s="13" t="n">
        <v>1160</v>
      </c>
    </row>
    <row r="80">
      <c r="B80" s="20" t="n">
        <v>45972</v>
      </c>
      <c r="C80" s="19" t="n">
        <v>275</v>
      </c>
      <c r="D80" s="19" t="n">
        <v>304</v>
      </c>
      <c r="E80" s="19" t="n">
        <v>251</v>
      </c>
      <c r="F80" s="19" t="n">
        <v>199</v>
      </c>
      <c r="G80" s="19" t="n">
        <v>201</v>
      </c>
      <c r="H80" s="19" t="n">
        <v>1230</v>
      </c>
    </row>
    <row r="81">
      <c r="B81" s="14" t="n">
        <v>45973</v>
      </c>
      <c r="C81" s="13" t="n">
        <v>258</v>
      </c>
      <c r="D81" s="13" t="n">
        <v>258</v>
      </c>
      <c r="E81" s="13" t="n">
        <v>240</v>
      </c>
      <c r="F81" s="13" t="n">
        <v>179</v>
      </c>
      <c r="G81" s="13" t="n">
        <v>143</v>
      </c>
      <c r="H81" s="13" t="n">
        <v>1078</v>
      </c>
    </row>
    <row r="82">
      <c r="B82" s="20" t="n">
        <v>45974</v>
      </c>
      <c r="C82" s="19" t="n">
        <v>267</v>
      </c>
      <c r="D82" s="19" t="n">
        <v>285</v>
      </c>
      <c r="E82" s="19" t="n">
        <v>238</v>
      </c>
      <c r="F82" s="19" t="n">
        <v>184</v>
      </c>
      <c r="G82" s="19" t="n">
        <v>153</v>
      </c>
      <c r="H82" s="19" t="n">
        <v>1127</v>
      </c>
    </row>
    <row r="83">
      <c r="B83" s="14" t="n">
        <v>45975</v>
      </c>
      <c r="C83" s="13" t="n">
        <v>285</v>
      </c>
      <c r="D83" s="13" t="n">
        <v>301</v>
      </c>
      <c r="E83" s="13" t="n">
        <v>208</v>
      </c>
      <c r="F83" s="13" t="n">
        <v>181</v>
      </c>
      <c r="G83" s="13" t="n">
        <v>150</v>
      </c>
      <c r="H83" s="13" t="n">
        <v>1125</v>
      </c>
    </row>
    <row r="84">
      <c r="B84" s="20" t="n">
        <v>45976</v>
      </c>
      <c r="C84" s="19" t="n">
        <v>223</v>
      </c>
      <c r="D84" s="19" t="n">
        <v>213</v>
      </c>
      <c r="E84" s="19" t="n">
        <v>180</v>
      </c>
      <c r="F84" s="19" t="n">
        <v>154</v>
      </c>
      <c r="G84" s="19" t="n">
        <v>129</v>
      </c>
      <c r="H84" s="19" t="n">
        <v>899</v>
      </c>
    </row>
    <row r="85">
      <c r="B85" s="14" t="n">
        <v>45977</v>
      </c>
      <c r="C85" s="13" t="n">
        <v>180</v>
      </c>
      <c r="D85" s="13" t="n">
        <v>156</v>
      </c>
      <c r="E85" s="13" t="n">
        <v>131</v>
      </c>
      <c r="F85" s="13" t="n">
        <v>126</v>
      </c>
      <c r="G85" s="13" t="n">
        <v>94</v>
      </c>
      <c r="H85" s="13" t="n">
        <v>687</v>
      </c>
    </row>
    <row r="86">
      <c r="B86" s="20" t="n">
        <v>45978</v>
      </c>
      <c r="C86" s="19" t="n">
        <v>266</v>
      </c>
      <c r="D86" s="19" t="n">
        <v>279</v>
      </c>
      <c r="E86" s="19" t="n">
        <v>213</v>
      </c>
      <c r="F86" s="19" t="n">
        <v>184</v>
      </c>
      <c r="G86" s="19" t="n">
        <v>170</v>
      </c>
      <c r="H86" s="19" t="n">
        <v>1112</v>
      </c>
    </row>
    <row r="87">
      <c r="B87" s="14" t="n">
        <v>45979</v>
      </c>
      <c r="C87" s="13" t="n">
        <v>242</v>
      </c>
      <c r="D87" s="13" t="n">
        <v>255</v>
      </c>
      <c r="E87" s="13" t="n">
        <v>216</v>
      </c>
      <c r="F87" s="13" t="n">
        <v>198</v>
      </c>
      <c r="G87" s="13" t="n">
        <v>162</v>
      </c>
      <c r="H87" s="13" t="n">
        <v>1073</v>
      </c>
    </row>
    <row r="88">
      <c r="B88" s="20" t="n">
        <v>45980</v>
      </c>
      <c r="C88" s="19" t="n">
        <v>299</v>
      </c>
      <c r="D88" s="19" t="n">
        <v>274</v>
      </c>
      <c r="E88" s="19" t="n">
        <v>205</v>
      </c>
      <c r="F88" s="19" t="n">
        <v>193</v>
      </c>
      <c r="G88" s="19" t="n">
        <v>167</v>
      </c>
      <c r="H88" s="19" t="n">
        <v>1138</v>
      </c>
    </row>
    <row r="89">
      <c r="B89" s="14" t="n">
        <v>45981</v>
      </c>
      <c r="C89" s="13" t="n">
        <v>272</v>
      </c>
      <c r="D89" s="13" t="n">
        <v>258</v>
      </c>
      <c r="E89" s="13" t="n">
        <v>202</v>
      </c>
      <c r="F89" s="13" t="n">
        <v>182</v>
      </c>
      <c r="G89" s="13" t="n">
        <v>151</v>
      </c>
      <c r="H89" s="13" t="n">
        <v>1065</v>
      </c>
    </row>
    <row r="90">
      <c r="B90" s="20" t="n">
        <v>45982</v>
      </c>
      <c r="C90" s="19" t="n">
        <v>259</v>
      </c>
      <c r="D90" s="19" t="n">
        <v>284</v>
      </c>
      <c r="E90" s="19" t="n">
        <v>242</v>
      </c>
      <c r="F90" s="19" t="n">
        <v>190</v>
      </c>
      <c r="G90" s="19" t="n">
        <v>162</v>
      </c>
      <c r="H90" s="19" t="n">
        <v>1137</v>
      </c>
    </row>
    <row r="91">
      <c r="B91" s="14" t="n">
        <v>45983</v>
      </c>
      <c r="C91" s="13" t="n">
        <v>228</v>
      </c>
      <c r="D91" s="13" t="n">
        <v>242</v>
      </c>
      <c r="E91" s="13" t="n">
        <v>198</v>
      </c>
      <c r="F91" s="13" t="n">
        <v>151</v>
      </c>
      <c r="G91" s="13" t="n">
        <v>139</v>
      </c>
      <c r="H91" s="13" t="n">
        <v>958</v>
      </c>
    </row>
    <row r="92">
      <c r="B92" s="20" t="n">
        <v>45984</v>
      </c>
      <c r="C92" s="19" t="n">
        <v>186</v>
      </c>
      <c r="D92" s="19" t="n">
        <v>155</v>
      </c>
      <c r="E92" s="19" t="n">
        <v>140</v>
      </c>
      <c r="F92" s="19" t="n">
        <v>83</v>
      </c>
      <c r="G92" s="19" t="n">
        <v>95</v>
      </c>
      <c r="H92" s="19" t="n">
        <v>659</v>
      </c>
    </row>
    <row r="93">
      <c r="B93" s="14" t="n">
        <v>45985</v>
      </c>
      <c r="C93" s="13" t="n">
        <v>262</v>
      </c>
      <c r="D93" s="13" t="n">
        <v>303</v>
      </c>
      <c r="E93" s="13" t="n">
        <v>229</v>
      </c>
      <c r="F93" s="13" t="n">
        <v>196</v>
      </c>
      <c r="G93" s="13" t="n">
        <v>192</v>
      </c>
      <c r="H93" s="13" t="n">
        <v>1182</v>
      </c>
    </row>
    <row r="94">
      <c r="B94" s="20" t="n">
        <v>45986</v>
      </c>
      <c r="C94" s="19" t="n">
        <v>298</v>
      </c>
      <c r="D94" s="19" t="n">
        <v>293</v>
      </c>
      <c r="E94" s="19" t="n">
        <v>225</v>
      </c>
      <c r="F94" s="19" t="n">
        <v>165</v>
      </c>
      <c r="G94" s="19" t="n">
        <v>147</v>
      </c>
      <c r="H94" s="19" t="n">
        <v>1128</v>
      </c>
    </row>
    <row r="95">
      <c r="B95" s="14" t="n">
        <v>45987</v>
      </c>
      <c r="C95" s="13" t="n">
        <v>249</v>
      </c>
      <c r="D95" s="13" t="n">
        <v>257</v>
      </c>
      <c r="E95" s="13" t="n">
        <v>235</v>
      </c>
      <c r="F95" s="13" t="n">
        <v>170</v>
      </c>
      <c r="G95" s="13" t="n">
        <v>175</v>
      </c>
      <c r="H95" s="13" t="n">
        <v>1086</v>
      </c>
    </row>
    <row r="96">
      <c r="B96" s="20" t="n">
        <v>45988</v>
      </c>
      <c r="C96" s="19" t="n">
        <v>239</v>
      </c>
      <c r="D96" s="19" t="n">
        <v>279</v>
      </c>
      <c r="E96" s="19" t="n">
        <v>209</v>
      </c>
      <c r="F96" s="19" t="n">
        <v>183</v>
      </c>
      <c r="G96" s="19" t="n">
        <v>143</v>
      </c>
      <c r="H96" s="19" t="n">
        <v>1053</v>
      </c>
    </row>
    <row r="97">
      <c r="B97" s="14" t="n">
        <v>45989</v>
      </c>
      <c r="C97" s="13" t="n">
        <v>259</v>
      </c>
      <c r="D97" s="13" t="n">
        <v>280</v>
      </c>
      <c r="E97" s="13" t="n">
        <v>227</v>
      </c>
      <c r="F97" s="13" t="n">
        <v>171</v>
      </c>
      <c r="G97" s="13" t="n">
        <v>138</v>
      </c>
      <c r="H97" s="13" t="n">
        <v>1075</v>
      </c>
    </row>
    <row r="98">
      <c r="B98" s="20" t="n">
        <v>45990</v>
      </c>
      <c r="C98" s="19" t="n">
        <v>241</v>
      </c>
      <c r="D98" s="19" t="n">
        <v>264</v>
      </c>
      <c r="E98" s="19" t="n">
        <v>199</v>
      </c>
      <c r="F98" s="19" t="n">
        <v>170</v>
      </c>
      <c r="G98" s="19" t="n">
        <v>133</v>
      </c>
      <c r="H98" s="19" t="n">
        <v>1007</v>
      </c>
    </row>
    <row r="101">
      <c r="B101" s="7" t="inlineStr">
        <is>
          <t>Weekly orders heatmap (city x ISO week)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 ht="30" customHeight="1">
      <c r="B102" s="9" t="inlineStr">
        <is>
          <t>City</t>
        </is>
      </c>
      <c r="C102" s="9" t="inlineStr">
        <is>
          <t>W36</t>
        </is>
      </c>
      <c r="D102" s="9" t="inlineStr">
        <is>
          <t>W37</t>
        </is>
      </c>
      <c r="E102" s="9" t="inlineStr">
        <is>
          <t>W38</t>
        </is>
      </c>
      <c r="F102" s="9" t="inlineStr">
        <is>
          <t>W39</t>
        </is>
      </c>
      <c r="G102" s="9" t="inlineStr">
        <is>
          <t>W40</t>
        </is>
      </c>
      <c r="H102" s="9" t="inlineStr">
        <is>
          <t>W41</t>
        </is>
      </c>
      <c r="I102" s="9" t="inlineStr">
        <is>
          <t>W42</t>
        </is>
      </c>
      <c r="J102" s="9" t="inlineStr">
        <is>
          <t>W43</t>
        </is>
      </c>
      <c r="K102" s="9" t="inlineStr">
        <is>
          <t>W44</t>
        </is>
      </c>
      <c r="L102" s="9" t="inlineStr">
        <is>
          <t>W45</t>
        </is>
      </c>
      <c r="M102" s="9" t="inlineStr">
        <is>
          <t>W46</t>
        </is>
      </c>
      <c r="N102" s="9" t="inlineStr">
        <is>
          <t>W47</t>
        </is>
      </c>
      <c r="O102" s="9" t="inlineStr">
        <is>
          <t>W48</t>
        </is>
      </c>
    </row>
    <row r="103">
      <c r="B103" s="10" t="inlineStr">
        <is>
          <t>Mumbai MMR</t>
        </is>
      </c>
      <c r="C103" s="13" t="n">
        <v>1672</v>
      </c>
      <c r="D103" s="13" t="n">
        <v>1778</v>
      </c>
      <c r="E103" s="13" t="n">
        <v>1706</v>
      </c>
      <c r="F103" s="13" t="n">
        <v>2420</v>
      </c>
      <c r="G103" s="13" t="n">
        <v>2337</v>
      </c>
      <c r="H103" s="13" t="n">
        <v>2311</v>
      </c>
      <c r="I103" s="13" t="n">
        <v>3129</v>
      </c>
      <c r="J103" s="13" t="n">
        <v>1259</v>
      </c>
      <c r="K103" s="13" t="n">
        <v>1668</v>
      </c>
      <c r="L103" s="13" t="n">
        <v>1745</v>
      </c>
      <c r="M103" s="13" t="n">
        <v>1776</v>
      </c>
      <c r="N103" s="13" t="n">
        <v>1752</v>
      </c>
      <c r="O103" s="13" t="n">
        <v>1548</v>
      </c>
    </row>
    <row r="104">
      <c r="B104" s="16" t="inlineStr">
        <is>
          <t>Delhi NCR</t>
        </is>
      </c>
      <c r="C104" s="19" t="n">
        <v>1815</v>
      </c>
      <c r="D104" s="19" t="n">
        <v>1784</v>
      </c>
      <c r="E104" s="19" t="n">
        <v>1867</v>
      </c>
      <c r="F104" s="19" t="n">
        <v>2544</v>
      </c>
      <c r="G104" s="19" t="n">
        <v>2505</v>
      </c>
      <c r="H104" s="19" t="n">
        <v>2490</v>
      </c>
      <c r="I104" s="19" t="n">
        <v>3218</v>
      </c>
      <c r="J104" s="19" t="n">
        <v>1357</v>
      </c>
      <c r="K104" s="19" t="n">
        <v>1689</v>
      </c>
      <c r="L104" s="19" t="n">
        <v>1825</v>
      </c>
      <c r="M104" s="19" t="n">
        <v>1788</v>
      </c>
      <c r="N104" s="19" t="n">
        <v>1747</v>
      </c>
      <c r="O104" s="19" t="n">
        <v>1676</v>
      </c>
    </row>
    <row r="105">
      <c r="B105" s="10" t="inlineStr">
        <is>
          <t>Bengaluru</t>
        </is>
      </c>
      <c r="C105" s="13" t="n">
        <v>1477</v>
      </c>
      <c r="D105" s="13" t="n">
        <v>1441</v>
      </c>
      <c r="E105" s="13" t="n">
        <v>1440</v>
      </c>
      <c r="F105" s="13" t="n">
        <v>1979</v>
      </c>
      <c r="G105" s="13" t="n">
        <v>2007</v>
      </c>
      <c r="H105" s="13" t="n">
        <v>2010</v>
      </c>
      <c r="I105" s="13" t="n">
        <v>2562</v>
      </c>
      <c r="J105" s="13" t="n">
        <v>1064</v>
      </c>
      <c r="K105" s="13" t="n">
        <v>1360</v>
      </c>
      <c r="L105" s="13" t="n">
        <v>1463</v>
      </c>
      <c r="M105" s="13" t="n">
        <v>1490</v>
      </c>
      <c r="N105" s="13" t="n">
        <v>1416</v>
      </c>
      <c r="O105" s="13" t="n">
        <v>1324</v>
      </c>
    </row>
    <row r="106">
      <c r="B106" s="16" t="inlineStr">
        <is>
          <t>Chennai</t>
        </is>
      </c>
      <c r="C106" s="19" t="n">
        <v>1253</v>
      </c>
      <c r="D106" s="19" t="n">
        <v>1184</v>
      </c>
      <c r="E106" s="19" t="n">
        <v>1146</v>
      </c>
      <c r="F106" s="19" t="n">
        <v>1625</v>
      </c>
      <c r="G106" s="19" t="n">
        <v>1597</v>
      </c>
      <c r="H106" s="19" t="n">
        <v>1604</v>
      </c>
      <c r="I106" s="19" t="n">
        <v>2135</v>
      </c>
      <c r="J106" s="19" t="n">
        <v>819</v>
      </c>
      <c r="K106" s="19" t="n">
        <v>1212</v>
      </c>
      <c r="L106" s="19" t="n">
        <v>1216</v>
      </c>
      <c r="M106" s="19" t="n">
        <v>1213</v>
      </c>
      <c r="N106" s="19" t="n">
        <v>1181</v>
      </c>
      <c r="O106" s="19" t="n">
        <v>1055</v>
      </c>
    </row>
    <row r="107">
      <c r="B107" s="10" t="inlineStr">
        <is>
          <t>Kolkata</t>
        </is>
      </c>
      <c r="C107" s="13" t="n">
        <v>993</v>
      </c>
      <c r="D107" s="13" t="n">
        <v>1015</v>
      </c>
      <c r="E107" s="13" t="n">
        <v>1045</v>
      </c>
      <c r="F107" s="13" t="n">
        <v>1369</v>
      </c>
      <c r="G107" s="13" t="n">
        <v>1064</v>
      </c>
      <c r="H107" s="13" t="n">
        <v>1362</v>
      </c>
      <c r="I107" s="13" t="n">
        <v>1843</v>
      </c>
      <c r="J107" s="13" t="n">
        <v>755</v>
      </c>
      <c r="K107" s="13" t="n">
        <v>1051</v>
      </c>
      <c r="L107" s="13" t="n">
        <v>1006</v>
      </c>
      <c r="M107" s="13" t="n">
        <v>1039</v>
      </c>
      <c r="N107" s="13" t="n">
        <v>1046</v>
      </c>
      <c r="O107" s="13" t="n">
        <v>928</v>
      </c>
    </row>
    <row r="110">
      <c r="B110" s="7" t="inlineStr">
        <is>
          <t>Event calendar (national and regional)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 ht="30" customHeight="1">
      <c r="B111" s="9" t="inlineStr">
        <is>
          <t>Scope</t>
        </is>
      </c>
      <c r="C111" s="9" t="inlineStr">
        <is>
          <t>Event</t>
        </is>
      </c>
      <c r="D111" s="9" t="inlineStr">
        <is>
          <t>Start</t>
        </is>
      </c>
      <c r="E111" s="9" t="inlineStr">
        <is>
          <t>End</t>
        </is>
      </c>
      <c r="F111" s="9" t="inlineStr">
        <is>
          <t>B2C x</t>
        </is>
      </c>
      <c r="G111" s="9" t="inlineStr">
        <is>
          <t>B2B x</t>
        </is>
      </c>
      <c r="H111" s="9" t="inlineStr">
        <is>
          <t>Traffic x</t>
        </is>
      </c>
    </row>
    <row r="112">
      <c r="B112" s="10" t="inlineStr">
        <is>
          <t>National</t>
        </is>
      </c>
      <c r="C112" s="10" t="inlineStr">
        <is>
          <t>Festive sale wave 1</t>
        </is>
      </c>
      <c r="D112" s="10" t="inlineStr">
        <is>
          <t>2025-09-23</t>
        </is>
      </c>
      <c r="E112" s="10" t="inlineStr">
        <is>
          <t>2025-10-05</t>
        </is>
      </c>
      <c r="F112" s="11" t="n">
        <v>1.5</v>
      </c>
      <c r="G112" s="11" t="n">
        <v>1.15</v>
      </c>
      <c r="H112" s="11" t="n">
        <v>1.05</v>
      </c>
    </row>
    <row r="113">
      <c r="B113" s="16" t="inlineStr">
        <is>
          <t>National</t>
        </is>
      </c>
      <c r="C113" s="16" t="inlineStr">
        <is>
          <t>Navratri dealer stocking</t>
        </is>
      </c>
      <c r="D113" s="16" t="inlineStr">
        <is>
          <t>2025-09-22</t>
        </is>
      </c>
      <c r="E113" s="16" t="inlineStr">
        <is>
          <t>2025-10-17</t>
        </is>
      </c>
      <c r="F113" s="17" t="n">
        <v>1</v>
      </c>
      <c r="G113" s="17" t="n">
        <v>1.2</v>
      </c>
      <c r="H113" s="17" t="n">
        <v>1</v>
      </c>
    </row>
    <row r="114">
      <c r="B114" s="10" t="inlineStr">
        <is>
          <t>National</t>
        </is>
      </c>
      <c r="C114" s="10" t="inlineStr">
        <is>
          <t>Dussehra holiday</t>
        </is>
      </c>
      <c r="D114" s="10" t="inlineStr">
        <is>
          <t>2025-10-02</t>
        </is>
      </c>
      <c r="E114" s="10" t="inlineStr">
        <is>
          <t>2025-10-02</t>
        </is>
      </c>
      <c r="F114" s="11" t="n">
        <v>0.85</v>
      </c>
      <c r="G114" s="11" t="n">
        <v>0.3</v>
      </c>
      <c r="H114" s="11" t="n">
        <v>0.9</v>
      </c>
    </row>
    <row r="115">
      <c r="B115" s="16" t="inlineStr">
        <is>
          <t>National</t>
        </is>
      </c>
      <c r="C115" s="16" t="inlineStr">
        <is>
          <t>Diwali peak</t>
        </is>
      </c>
      <c r="D115" s="16" t="inlineStr">
        <is>
          <t>2025-10-10</t>
        </is>
      </c>
      <c r="E115" s="16" t="inlineStr">
        <is>
          <t>2025-10-19</t>
        </is>
      </c>
      <c r="F115" s="17" t="n">
        <v>1.9</v>
      </c>
      <c r="G115" s="17" t="n">
        <v>1.35</v>
      </c>
      <c r="H115" s="17" t="n">
        <v>1.1</v>
      </c>
    </row>
    <row r="116">
      <c r="B116" s="10" t="inlineStr">
        <is>
          <t>National</t>
        </is>
      </c>
      <c r="C116" s="10" t="inlineStr">
        <is>
          <t>Diwali holidays</t>
        </is>
      </c>
      <c r="D116" s="10" t="inlineStr">
        <is>
          <t>2025-10-20</t>
        </is>
      </c>
      <c r="E116" s="10" t="inlineStr">
        <is>
          <t>2025-10-23</t>
        </is>
      </c>
      <c r="F116" s="11" t="n">
        <v>0.65</v>
      </c>
      <c r="G116" s="11" t="n">
        <v>0.35</v>
      </c>
      <c r="H116" s="11" t="n">
        <v>0.85</v>
      </c>
    </row>
    <row r="117">
      <c r="B117" s="16" t="inlineStr">
        <is>
          <t>Mumbai MMR</t>
        </is>
      </c>
      <c r="C117" s="16" t="inlineStr">
        <is>
          <t>Ganesh Visarjan</t>
        </is>
      </c>
      <c r="D117" s="16" t="inlineStr">
        <is>
          <t>2025-09-06</t>
        </is>
      </c>
      <c r="E117" s="16" t="inlineStr">
        <is>
          <t>2025-09-06</t>
        </is>
      </c>
      <c r="F117" s="17" t="n">
        <v>0.8</v>
      </c>
      <c r="G117" s="17" t="n">
        <v>0.4</v>
      </c>
      <c r="H117" s="17" t="n">
        <v>1.35</v>
      </c>
    </row>
    <row r="118">
      <c r="B118" s="10" t="inlineStr">
        <is>
          <t>Delhi NCR</t>
        </is>
      </c>
      <c r="C118" s="10" t="inlineStr">
        <is>
          <t>Chhath Puja</t>
        </is>
      </c>
      <c r="D118" s="10" t="inlineStr">
        <is>
          <t>2025-10-27</t>
        </is>
      </c>
      <c r="E118" s="10" t="inlineStr">
        <is>
          <t>2025-10-28</t>
        </is>
      </c>
      <c r="F118" s="11" t="n">
        <v>0.9</v>
      </c>
      <c r="G118" s="11" t="n">
        <v>0.6</v>
      </c>
      <c r="H118" s="11" t="n">
        <v>1.1</v>
      </c>
    </row>
    <row r="119">
      <c r="B119" s="16" t="inlineStr">
        <is>
          <t>Bengaluru</t>
        </is>
      </c>
      <c r="C119" s="16" t="inlineStr">
        <is>
          <t>Ayudha Puja</t>
        </is>
      </c>
      <c r="D119" s="16" t="inlineStr">
        <is>
          <t>2025-10-01</t>
        </is>
      </c>
      <c r="E119" s="16" t="inlineStr">
        <is>
          <t>2025-10-01</t>
        </is>
      </c>
      <c r="F119" s="17" t="n">
        <v>0.9</v>
      </c>
      <c r="G119" s="17" t="n">
        <v>0.5</v>
      </c>
      <c r="H119" s="17" t="n">
        <v>0.95</v>
      </c>
    </row>
    <row r="120">
      <c r="B120" s="10" t="inlineStr">
        <is>
          <t>Bengaluru</t>
        </is>
      </c>
      <c r="C120" s="10" t="inlineStr">
        <is>
          <t>Kannada Rajyotsava</t>
        </is>
      </c>
      <c r="D120" s="10" t="inlineStr">
        <is>
          <t>2025-11-01</t>
        </is>
      </c>
      <c r="E120" s="10" t="inlineStr">
        <is>
          <t>2025-11-01</t>
        </is>
      </c>
      <c r="F120" s="11" t="n">
        <v>0.95</v>
      </c>
      <c r="G120" s="11" t="n">
        <v>0.5</v>
      </c>
      <c r="H120" s="11" t="n">
        <v>0.95</v>
      </c>
    </row>
    <row r="121">
      <c r="B121" s="16" t="inlineStr">
        <is>
          <t>Chennai</t>
        </is>
      </c>
      <c r="C121" s="16" t="inlineStr">
        <is>
          <t>Ayudha Puja</t>
        </is>
      </c>
      <c r="D121" s="16" t="inlineStr">
        <is>
          <t>2025-10-01</t>
        </is>
      </c>
      <c r="E121" s="16" t="inlineStr">
        <is>
          <t>2025-10-01</t>
        </is>
      </c>
      <c r="F121" s="17" t="n">
        <v>0.9</v>
      </c>
      <c r="G121" s="17" t="n">
        <v>0.4</v>
      </c>
      <c r="H121" s="17" t="n">
        <v>0.95</v>
      </c>
    </row>
    <row r="122">
      <c r="B122" s="10" t="inlineStr">
        <is>
          <t>Kolkata</t>
        </is>
      </c>
      <c r="C122" s="10" t="inlineStr">
        <is>
          <t>Durga Puja</t>
        </is>
      </c>
      <c r="D122" s="10" t="inlineStr">
        <is>
          <t>2025-09-28</t>
        </is>
      </c>
      <c r="E122" s="10" t="inlineStr">
        <is>
          <t>2025-10-02</t>
        </is>
      </c>
      <c r="F122" s="11" t="n">
        <v>0.75</v>
      </c>
      <c r="G122" s="11" t="n">
        <v>0.3</v>
      </c>
      <c r="H122" s="11" t="n">
        <v>1.4</v>
      </c>
    </row>
  </sheetData>
  <mergeCells count="9">
    <mergeCell ref="B5:D5"/>
    <mergeCell ref="E5:G5"/>
    <mergeCell ref="K4:M4"/>
    <mergeCell ref="H5:J5"/>
    <mergeCell ref="K5:M5"/>
    <mergeCell ref="B4:D4"/>
    <mergeCell ref="H4:J4"/>
    <mergeCell ref="E4:G4"/>
    <mergeCell ref="B1:R1"/>
  </mergeCells>
  <conditionalFormatting sqref="C103:O107">
    <cfRule type="colorScale" priority="1">
      <colorScale>
        <cfvo type="min"/>
        <cfvo type="percentile" val="70"/>
        <cfvo type="max"/>
        <color rgb="00FFFFFF"/>
        <color rgb="00F2C14E"/>
        <color rgb="001F2A44"/>
      </colorScale>
    </cfRule>
  </conditionalFormatting>
  <conditionalFormatting sqref="F112:F122">
    <cfRule type="colorScale" priority="2">
      <colorScale>
        <cfvo type="min"/>
        <cfvo type="percentile" val="50"/>
        <cfvo type="max"/>
        <color rgb="00F8D9D6"/>
        <color rgb="00FFF6DD"/>
        <color rgb="00D7EEE0"/>
      </colorScale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ineWeight="1.25">
          <x14:colorSeries rgb="FF0E7C86"/>
          <x14:colorNegative rgb="FFC2413B"/>
          <x14:colorAxis rgb="FF000000"/>
          <x14:colorMarkers rgb="FF0E7C86"/>
          <x14:colorFirst rgb="FF6B7A90"/>
          <x14:colorLast rgb="FF1F2A44"/>
          <x14:colorHigh rgb="FFE3A21A"/>
          <x14:colorLow rgb="FF6B7A90"/>
          <x14:sparklines>
            <x14:sparkline>
              <xm:f>'Order &amp; Demand Profile'!C9:C98</xm:f>
              <xm:sqref>L30</xm:sqref>
            </x14:sparkline>
            <x14:sparkline>
              <xm:f>'Order &amp; Demand Profile'!D9:D98</xm:f>
              <xm:sqref>L31</xm:sqref>
            </x14:sparkline>
            <x14:sparkline>
              <xm:f>'Order &amp; Demand Profile'!E9:E98</xm:f>
              <xm:sqref>L32</xm:sqref>
            </x14:sparkline>
            <x14:sparkline>
              <xm:f>'Order &amp; Demand Profile'!F9:F98</xm:f>
              <xm:sqref>L33</xm:sqref>
            </x14:sparkline>
            <x14:sparkline>
              <xm:f>'Order &amp; Demand Profile'!G9:G98</xm:f>
              <xm:sqref>L34</xm:sqref>
            </x14:sparkline>
            <x14:sparkline>
              <xm:f>'Order &amp; Demand Profile'!H9:H98</xm:f>
              <xm:sqref>L35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Q5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4" customHeight="1">
      <c r="A1" s="1" t="n"/>
      <c r="B1" s="2" t="inlineStr">
        <is>
          <t>Routing Analysis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8" customHeight="1">
      <c r="B2" s="3" t="inlineStr">
        <is>
          <t>CVRPTW (OR-Tools, guided local search) vs window-aware nearest-neighbour baseline · representative day 2025-09-10 · 1,109 orders</t>
        </is>
      </c>
    </row>
    <row r="4" ht="30" customHeight="1">
      <c r="B4" s="41">
        <f>F14</f>
        <v/>
      </c>
      <c r="C4" s="5" t="n"/>
      <c r="D4" s="5" t="n"/>
      <c r="E4" s="41">
        <f>I14</f>
        <v/>
      </c>
      <c r="F4" s="5" t="n"/>
      <c r="G4" s="5" t="n"/>
      <c r="H4" s="42">
        <f>K14</f>
        <v/>
      </c>
      <c r="I4" s="5" t="n"/>
      <c r="J4" s="5" t="n"/>
      <c r="K4" s="4">
        <f>M14</f>
        <v/>
      </c>
      <c r="L4" s="5" t="n"/>
      <c r="M4" s="5" t="n"/>
      <c r="N4" s="43">
        <f>P14-Q14</f>
        <v/>
      </c>
      <c r="O4" s="5" t="n"/>
      <c r="P4" s="5" t="n"/>
    </row>
    <row r="5" ht="26" customHeight="1">
      <c r="B5" s="6" t="inlineStr">
        <is>
          <t>Last-mile cost reduction (incl. outsourcing)</t>
        </is>
      </c>
      <c r="C5" s="5" t="n"/>
      <c r="D5" s="5" t="n"/>
      <c r="E5" s="6" t="inlineStr">
        <is>
          <t>Fleet operating cost reduction</t>
        </is>
      </c>
      <c r="F5" s="5" t="n"/>
      <c r="G5" s="5" t="n"/>
      <c r="H5" s="44" t="inlineStr">
        <is>
          <t>Optimized in-window delivery</t>
        </is>
      </c>
      <c r="I5" s="5" t="n"/>
      <c r="J5" s="5" t="n"/>
      <c r="K5" s="6" t="inlineStr">
        <is>
          <t>Vehicles used (optimized) · vs baseline in table</t>
        </is>
      </c>
      <c r="L5" s="5" t="n"/>
      <c r="M5" s="5" t="n"/>
      <c r="N5" s="6" t="inlineStr">
        <is>
          <t>Road km saved</t>
        </is>
      </c>
      <c r="O5" s="5" t="n"/>
      <c r="P5" s="5" t="n"/>
    </row>
    <row r="7">
      <c r="B7" s="7" t="inlineStr">
        <is>
          <t>Baseline vs optimized by city (formulas compute deltas and national totals)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 ht="30" customHeight="1">
      <c r="B8" s="9" t="inlineStr">
        <is>
          <t>City</t>
        </is>
      </c>
      <c r="C8" s="9" t="inlineStr">
        <is>
          <t>Orders</t>
        </is>
      </c>
      <c r="D8" s="9" t="inlineStr">
        <is>
          <t>Baseline last-mile ₹</t>
        </is>
      </c>
      <c r="E8" s="9" t="inlineStr">
        <is>
          <t>Optimized last-mile ₹</t>
        </is>
      </c>
      <c r="F8" s="9" t="inlineStr">
        <is>
          <t>Last-mile reduction</t>
        </is>
      </c>
      <c r="G8" s="9" t="inlineStr">
        <is>
          <t>Baseline fleet ₹</t>
        </is>
      </c>
      <c r="H8" s="9" t="inlineStr">
        <is>
          <t>Optimized fleet ₹</t>
        </is>
      </c>
      <c r="I8" s="9" t="inlineStr">
        <is>
          <t>Fleet cost reduction</t>
        </is>
      </c>
      <c r="J8" s="9" t="inlineStr">
        <is>
          <t>Baseline compliance</t>
        </is>
      </c>
      <c r="K8" s="9" t="inlineStr">
        <is>
          <t>Optimized compliance</t>
        </is>
      </c>
      <c r="L8" s="9" t="inlineStr">
        <is>
          <t>Baseline vehicles</t>
        </is>
      </c>
      <c r="M8" s="9" t="inlineStr">
        <is>
          <t>Optimized vehicles</t>
        </is>
      </c>
      <c r="N8" s="9" t="inlineStr">
        <is>
          <t>Baseline unassigned</t>
        </is>
      </c>
      <c r="O8" s="9" t="inlineStr">
        <is>
          <t>Optimized unassigned</t>
        </is>
      </c>
      <c r="P8" s="9" t="inlineStr">
        <is>
          <t>Baseline road km</t>
        </is>
      </c>
      <c r="Q8" s="9" t="inlineStr">
        <is>
          <t>Optimized road km</t>
        </is>
      </c>
    </row>
    <row r="9">
      <c r="B9" s="10" t="inlineStr">
        <is>
          <t>Mumbai MMR</t>
        </is>
      </c>
      <c r="C9" s="13" t="n">
        <v>283</v>
      </c>
      <c r="D9" s="30" t="n">
        <v>102638</v>
      </c>
      <c r="E9" s="30" t="n">
        <v>81833</v>
      </c>
      <c r="F9" s="15">
        <f>IFERROR(1-E9/D9,0)</f>
        <v/>
      </c>
      <c r="G9" s="30" t="n">
        <v>102418</v>
      </c>
      <c r="H9" s="30" t="n">
        <v>81833</v>
      </c>
      <c r="I9" s="15">
        <f>IFERROR(1-H9/G9,0)</f>
        <v/>
      </c>
      <c r="J9" s="15" t="n">
        <v>0.9929</v>
      </c>
      <c r="K9" s="15" t="n">
        <v>0.9929</v>
      </c>
      <c r="L9" s="10" t="n">
        <v>21</v>
      </c>
      <c r="M9" s="10" t="n">
        <v>18</v>
      </c>
      <c r="N9" s="10" t="n">
        <v>1</v>
      </c>
      <c r="O9" s="10" t="n">
        <v>0</v>
      </c>
      <c r="P9" s="12" t="n">
        <v>1931.4</v>
      </c>
      <c r="Q9" s="12" t="n">
        <v>1410.4</v>
      </c>
    </row>
    <row r="10">
      <c r="B10" s="16" t="inlineStr">
        <is>
          <t>Delhi NCR</t>
        </is>
      </c>
      <c r="C10" s="19" t="n">
        <v>266</v>
      </c>
      <c r="D10" s="32" t="n">
        <v>126986</v>
      </c>
      <c r="E10" s="32" t="n">
        <v>96405</v>
      </c>
      <c r="F10" s="21">
        <f>IFERROR(1-E10/D10,0)</f>
        <v/>
      </c>
      <c r="G10" s="32" t="n">
        <v>118706</v>
      </c>
      <c r="H10" s="32" t="n">
        <v>85705</v>
      </c>
      <c r="I10" s="21">
        <f>IFERROR(1-H10/G10,0)</f>
        <v/>
      </c>
      <c r="J10" s="21" t="n">
        <v>0.9286</v>
      </c>
      <c r="K10" s="21" t="n">
        <v>0.9661999999999999</v>
      </c>
      <c r="L10" s="16" t="n">
        <v>23</v>
      </c>
      <c r="M10" s="16" t="n">
        <v>18</v>
      </c>
      <c r="N10" s="16" t="n">
        <v>16</v>
      </c>
      <c r="O10" s="16" t="n">
        <v>9</v>
      </c>
      <c r="P10" s="18" t="n">
        <v>2581.5</v>
      </c>
      <c r="Q10" s="18" t="n">
        <v>1808.6</v>
      </c>
    </row>
    <row r="11">
      <c r="B11" s="10" t="inlineStr">
        <is>
          <t>Bengaluru</t>
        </is>
      </c>
      <c r="C11" s="13" t="n">
        <v>214</v>
      </c>
      <c r="D11" s="30" t="n">
        <v>91041</v>
      </c>
      <c r="E11" s="30" t="n">
        <v>67076</v>
      </c>
      <c r="F11" s="15">
        <f>IFERROR(1-E11/D11,0)</f>
        <v/>
      </c>
      <c r="G11" s="30" t="n">
        <v>91041</v>
      </c>
      <c r="H11" s="30" t="n">
        <v>67076</v>
      </c>
      <c r="I11" s="15">
        <f>IFERROR(1-H11/G11,0)</f>
        <v/>
      </c>
      <c r="J11" s="15" t="n">
        <v>0.9953</v>
      </c>
      <c r="K11" s="15" t="n">
        <v>0.9813</v>
      </c>
      <c r="L11" s="10" t="n">
        <v>19</v>
      </c>
      <c r="M11" s="10" t="n">
        <v>17</v>
      </c>
      <c r="N11" s="10" t="n">
        <v>0</v>
      </c>
      <c r="O11" s="10" t="n">
        <v>0</v>
      </c>
      <c r="P11" s="12" t="n">
        <v>1512</v>
      </c>
      <c r="Q11" s="12" t="n">
        <v>1131.6</v>
      </c>
    </row>
    <row r="12">
      <c r="B12" s="16" t="inlineStr">
        <is>
          <t>Chennai</t>
        </is>
      </c>
      <c r="C12" s="19" t="n">
        <v>201</v>
      </c>
      <c r="D12" s="32" t="n">
        <v>92494</v>
      </c>
      <c r="E12" s="32" t="n">
        <v>60543</v>
      </c>
      <c r="F12" s="21">
        <f>IFERROR(1-E12/D12,0)</f>
        <v/>
      </c>
      <c r="G12" s="32" t="n">
        <v>92494</v>
      </c>
      <c r="H12" s="32" t="n">
        <v>60543</v>
      </c>
      <c r="I12" s="21">
        <f>IFERROR(1-H12/G12,0)</f>
        <v/>
      </c>
      <c r="J12" s="21" t="n">
        <v>1</v>
      </c>
      <c r="K12" s="21" t="n">
        <v>0.995</v>
      </c>
      <c r="L12" s="16" t="n">
        <v>19</v>
      </c>
      <c r="M12" s="16" t="n">
        <v>15</v>
      </c>
      <c r="N12" s="16" t="n">
        <v>0</v>
      </c>
      <c r="O12" s="16" t="n">
        <v>0</v>
      </c>
      <c r="P12" s="18" t="n">
        <v>1828.2</v>
      </c>
      <c r="Q12" s="18" t="n">
        <v>1306.2</v>
      </c>
    </row>
    <row r="13">
      <c r="B13" s="10" t="inlineStr">
        <is>
          <t>Kolkata</t>
        </is>
      </c>
      <c r="C13" s="13" t="n">
        <v>145</v>
      </c>
      <c r="D13" s="30" t="n">
        <v>70667</v>
      </c>
      <c r="E13" s="30" t="n">
        <v>38676</v>
      </c>
      <c r="F13" s="15">
        <f>IFERROR(1-E13/D13,0)</f>
        <v/>
      </c>
      <c r="G13" s="30" t="n">
        <v>70667</v>
      </c>
      <c r="H13" s="30" t="n">
        <v>38676</v>
      </c>
      <c r="I13" s="15">
        <f>IFERROR(1-H13/G13,0)</f>
        <v/>
      </c>
      <c r="J13" s="15" t="n">
        <v>1</v>
      </c>
      <c r="K13" s="15" t="n">
        <v>0.9862</v>
      </c>
      <c r="L13" s="10" t="n">
        <v>17</v>
      </c>
      <c r="M13" s="10" t="n">
        <v>11</v>
      </c>
      <c r="N13" s="10" t="n">
        <v>0</v>
      </c>
      <c r="O13" s="10" t="n">
        <v>0</v>
      </c>
      <c r="P13" s="12" t="n">
        <v>1058.7</v>
      </c>
      <c r="Q13" s="12" t="n">
        <v>708.8</v>
      </c>
    </row>
    <row r="14">
      <c r="B14" s="37" t="inlineStr">
        <is>
          <t>All cities</t>
        </is>
      </c>
      <c r="C14" s="45">
        <f>SUM(C9:C13)</f>
        <v/>
      </c>
      <c r="D14" s="46">
        <f>SUM(D9:D13)</f>
        <v/>
      </c>
      <c r="E14" s="46">
        <f>SUM(E9:E13)</f>
        <v/>
      </c>
      <c r="F14" s="47">
        <f>IFERROR(1-E14/D14,0)</f>
        <v/>
      </c>
      <c r="G14" s="46">
        <f>SUM(G9:G13)</f>
        <v/>
      </c>
      <c r="H14" s="46">
        <f>SUM(H9:H13)</f>
        <v/>
      </c>
      <c r="I14" s="47">
        <f>IFERROR(1-H14/G14,0)</f>
        <v/>
      </c>
      <c r="J14" s="47">
        <f>SUMPRODUCT(J9:J13,$C$9:$C$13)/SUM($C$9:$C$13)</f>
        <v/>
      </c>
      <c r="K14" s="47">
        <f>SUMPRODUCT(K9:K13,$C$9:$C$13)/SUM($C$9:$C$13)</f>
        <v/>
      </c>
      <c r="L14" s="48">
        <f>SUM(L9:L13)</f>
        <v/>
      </c>
      <c r="M14" s="48">
        <f>SUM(M9:M13)</f>
        <v/>
      </c>
      <c r="N14" s="48">
        <f>SUM(N9:N13)</f>
        <v/>
      </c>
      <c r="O14" s="48">
        <f>SUM(O9:O13)</f>
        <v/>
      </c>
      <c r="P14" s="49">
        <f>SUM(P9:P13)</f>
        <v/>
      </c>
      <c r="Q14" s="49">
        <f>SUM(Q9:Q13)</f>
        <v/>
      </c>
    </row>
    <row r="50" ht="39" customHeight="1">
      <c r="B50" s="26" t="inlineStr">
        <is>
          <t>Baseline: window-aware nearest-neighbour dispatch (each vehicle repeatedly takes the closest order it can reach before its window closes; late second pass). Both plans are replayed by the same evaluator with departure-time traffic bands and ML zone calibration. Unserved orders are costed at spot-outsourcing rates, so 'last-mile cost' compares like-for-like service. Road km = straight-line km x 1.35 planning circuity (estimate, not routed street distance).</t>
        </is>
      </c>
    </row>
  </sheetData>
  <mergeCells count="12">
    <mergeCell ref="B5:D5"/>
    <mergeCell ref="B50:Q50"/>
    <mergeCell ref="E5:G5"/>
    <mergeCell ref="K4:M4"/>
    <mergeCell ref="H5:J5"/>
    <mergeCell ref="B1:Q1"/>
    <mergeCell ref="B4:D4"/>
    <mergeCell ref="H4:J4"/>
    <mergeCell ref="K5:M5"/>
    <mergeCell ref="N5:P5"/>
    <mergeCell ref="E4:G4"/>
    <mergeCell ref="N4:P4"/>
  </mergeCells>
  <conditionalFormatting sqref="F9:F13">
    <cfRule type="dataBar" priority="1">
      <dataBar showValue="1">
        <cfvo type="min"/>
        <cfvo type="max"/>
        <color rgb="000E7C86"/>
      </dataBar>
    </cfRule>
  </conditionalFormatting>
  <conditionalFormatting sqref="I9:I13">
    <cfRule type="dataBar" priority="2">
      <dataBar showValue="1">
        <cfvo type="min"/>
        <cfvo type="max"/>
        <color rgb="003C8D5A"/>
      </dataBar>
    </cfRule>
  </conditionalFormatting>
  <conditionalFormatting sqref="K9:K13">
    <cfRule type="colorScale" priority="3">
      <colorScale>
        <cfvo type="min"/>
        <cfvo type="percentile" val="50"/>
        <cfvo type="max"/>
        <color rgb="00F8D9D6"/>
        <color rgb="00FFF6DD"/>
        <color rgb="00D7EEE0"/>
      </colorScale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P12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3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4" customHeight="1">
      <c r="A1" s="1" t="n"/>
      <c r="B1" s="2" t="inlineStr">
        <is>
          <t>Route Stops &amp; Compliance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B2" s="3" t="inlineStr">
        <is>
          <t>Zone-level service, vehicle utilisation and stop-level audit trail (optimized plan)</t>
        </is>
      </c>
    </row>
    <row r="4">
      <c r="B4" s="7" t="inlineStr">
        <is>
          <t>On-time performance by zone</t>
        </is>
      </c>
      <c r="C4" s="8" t="n"/>
      <c r="D4" s="8" t="n"/>
      <c r="E4" s="8" t="n"/>
      <c r="F4" s="8" t="n"/>
      <c r="G4" s="8" t="n"/>
      <c r="H4" s="8" t="n"/>
    </row>
    <row r="5" ht="30" customHeight="1">
      <c r="B5" s="9" t="inlineStr">
        <is>
          <t>City</t>
        </is>
      </c>
      <c r="C5" s="9" t="inlineStr">
        <is>
          <t>Zone</t>
        </is>
      </c>
      <c r="D5" s="9" t="inlineStr">
        <is>
          <t>Stops</t>
        </is>
      </c>
      <c r="E5" s="9" t="inlineStr">
        <is>
          <t>Baseline on-time</t>
        </is>
      </c>
      <c r="F5" s="9" t="inlineStr">
        <is>
          <t>Optimized on-time</t>
        </is>
      </c>
      <c r="G5" s="9" t="inlineStr">
        <is>
          <t>Avg late min</t>
        </is>
      </c>
      <c r="H5" s="9" t="inlineStr">
        <is>
          <t>Avg wait min</t>
        </is>
      </c>
    </row>
    <row r="6">
      <c r="B6" s="10" t="inlineStr">
        <is>
          <t>Bengaluru</t>
        </is>
      </c>
      <c r="C6" s="10" t="inlineStr">
        <is>
          <t>Central Bengaluru</t>
        </is>
      </c>
      <c r="D6" s="13" t="n">
        <v>32</v>
      </c>
      <c r="E6" s="15" t="n">
        <v>1</v>
      </c>
      <c r="F6" s="15" t="n">
        <v>1</v>
      </c>
      <c r="G6" s="12" t="n">
        <v>0</v>
      </c>
      <c r="H6" s="12" t="n">
        <v>4.456250000000001</v>
      </c>
    </row>
    <row r="7">
      <c r="B7" s="16" t="inlineStr">
        <is>
          <t>Bengaluru</t>
        </is>
      </c>
      <c r="C7" s="16" t="inlineStr">
        <is>
          <t>East Bengaluru</t>
        </is>
      </c>
      <c r="D7" s="19" t="n">
        <v>53</v>
      </c>
      <c r="E7" s="21" t="n">
        <v>0.9811320754716981</v>
      </c>
      <c r="F7" s="21" t="n">
        <v>0.9245283018867925</v>
      </c>
      <c r="G7" s="18" t="n">
        <v>1.390566037735849</v>
      </c>
      <c r="H7" s="18" t="n">
        <v>4.043396226415094</v>
      </c>
    </row>
    <row r="8">
      <c r="B8" s="10" t="inlineStr">
        <is>
          <t>Bengaluru</t>
        </is>
      </c>
      <c r="C8" s="10" t="inlineStr">
        <is>
          <t>North Bengaluru</t>
        </is>
      </c>
      <c r="D8" s="13" t="n">
        <v>33</v>
      </c>
      <c r="E8" s="15" t="n">
        <v>1</v>
      </c>
      <c r="F8" s="15" t="n">
        <v>1</v>
      </c>
      <c r="G8" s="12" t="n">
        <v>0</v>
      </c>
      <c r="H8" s="12" t="n">
        <v>8.566666666666666</v>
      </c>
    </row>
    <row r="9">
      <c r="B9" s="16" t="inlineStr">
        <is>
          <t>Bengaluru</t>
        </is>
      </c>
      <c r="C9" s="16" t="inlineStr">
        <is>
          <t>South Bengaluru</t>
        </is>
      </c>
      <c r="D9" s="19" t="n">
        <v>61</v>
      </c>
      <c r="E9" s="21" t="n">
        <v>1</v>
      </c>
      <c r="F9" s="21" t="n">
        <v>1</v>
      </c>
      <c r="G9" s="18" t="n">
        <v>0</v>
      </c>
      <c r="H9" s="18" t="n">
        <v>8.840983606557376</v>
      </c>
    </row>
    <row r="10">
      <c r="B10" s="10" t="inlineStr">
        <is>
          <t>Bengaluru</t>
        </is>
      </c>
      <c r="C10" s="10" t="inlineStr">
        <is>
          <t>West Bengaluru</t>
        </is>
      </c>
      <c r="D10" s="13" t="n">
        <v>35</v>
      </c>
      <c r="E10" s="15" t="n">
        <v>1</v>
      </c>
      <c r="F10" s="15" t="n">
        <v>1</v>
      </c>
      <c r="G10" s="12" t="n">
        <v>0</v>
      </c>
      <c r="H10" s="12" t="n">
        <v>11.13142857142857</v>
      </c>
    </row>
    <row r="11">
      <c r="B11" s="16" t="inlineStr">
        <is>
          <t>Chennai</t>
        </is>
      </c>
      <c r="C11" s="16" t="inlineStr">
        <is>
          <t>Central Chennai</t>
        </is>
      </c>
      <c r="D11" s="19" t="n">
        <v>47</v>
      </c>
      <c r="E11" s="21" t="n">
        <v>1</v>
      </c>
      <c r="F11" s="21" t="n">
        <v>1</v>
      </c>
      <c r="G11" s="18" t="n">
        <v>0</v>
      </c>
      <c r="H11" s="18" t="n">
        <v>3.865957446808511</v>
      </c>
    </row>
    <row r="12">
      <c r="B12" s="10" t="inlineStr">
        <is>
          <t>Chennai</t>
        </is>
      </c>
      <c r="C12" s="10" t="inlineStr">
        <is>
          <t>North Chennai</t>
        </is>
      </c>
      <c r="D12" s="13" t="n">
        <v>29</v>
      </c>
      <c r="E12" s="15" t="n">
        <v>1</v>
      </c>
      <c r="F12" s="15" t="n">
        <v>1</v>
      </c>
      <c r="G12" s="12" t="n">
        <v>0</v>
      </c>
      <c r="H12" s="12" t="n">
        <v>0.1068965517241379</v>
      </c>
    </row>
    <row r="13">
      <c r="B13" s="16" t="inlineStr">
        <is>
          <t>Chennai</t>
        </is>
      </c>
      <c r="C13" s="16" t="inlineStr">
        <is>
          <t>OMR Corridor</t>
        </is>
      </c>
      <c r="D13" s="19" t="n">
        <v>45</v>
      </c>
      <c r="E13" s="21" t="n">
        <v>1</v>
      </c>
      <c r="F13" s="21" t="n">
        <v>0.9777777777777777</v>
      </c>
      <c r="G13" s="18" t="n">
        <v>0.02</v>
      </c>
      <c r="H13" s="18" t="n">
        <v>6.197777777777778</v>
      </c>
    </row>
    <row r="14">
      <c r="B14" s="10" t="inlineStr">
        <is>
          <t>Chennai</t>
        </is>
      </c>
      <c r="C14" s="10" t="inlineStr">
        <is>
          <t>South Chennai</t>
        </is>
      </c>
      <c r="D14" s="13" t="n">
        <v>35</v>
      </c>
      <c r="E14" s="15" t="n">
        <v>1</v>
      </c>
      <c r="F14" s="15" t="n">
        <v>1</v>
      </c>
      <c r="G14" s="12" t="n">
        <v>0</v>
      </c>
      <c r="H14" s="12" t="n">
        <v>5.065714285714286</v>
      </c>
    </row>
    <row r="15">
      <c r="B15" s="16" t="inlineStr">
        <is>
          <t>Chennai</t>
        </is>
      </c>
      <c r="C15" s="16" t="inlineStr">
        <is>
          <t>West Chennai</t>
        </is>
      </c>
      <c r="D15" s="19" t="n">
        <v>45</v>
      </c>
      <c r="E15" s="21" t="n">
        <v>1</v>
      </c>
      <c r="F15" s="21" t="n">
        <v>1</v>
      </c>
      <c r="G15" s="18" t="n">
        <v>0</v>
      </c>
      <c r="H15" s="18" t="n">
        <v>7.202222222222223</v>
      </c>
    </row>
    <row r="16">
      <c r="B16" s="10" t="inlineStr">
        <is>
          <t>Delhi NCR</t>
        </is>
      </c>
      <c r="C16" s="10" t="inlineStr">
        <is>
          <t>Central Delhi</t>
        </is>
      </c>
      <c r="D16" s="13" t="n">
        <v>50</v>
      </c>
      <c r="E16" s="15" t="n">
        <v>1</v>
      </c>
      <c r="F16" s="15" t="n">
        <v>1</v>
      </c>
      <c r="G16" s="12" t="n">
        <v>0</v>
      </c>
      <c r="H16" s="12" t="n">
        <v>2.772</v>
      </c>
    </row>
    <row r="17">
      <c r="B17" s="16" t="inlineStr">
        <is>
          <t>Delhi NCR</t>
        </is>
      </c>
      <c r="C17" s="16" t="inlineStr">
        <is>
          <t>Gurugram</t>
        </is>
      </c>
      <c r="D17" s="19" t="n">
        <v>59</v>
      </c>
      <c r="E17" s="21" t="n">
        <v>1</v>
      </c>
      <c r="F17" s="21" t="n">
        <v>1</v>
      </c>
      <c r="G17" s="18" t="n">
        <v>0</v>
      </c>
      <c r="H17" s="18" t="n">
        <v>9.374576271186442</v>
      </c>
    </row>
    <row r="18">
      <c r="B18" s="10" t="inlineStr">
        <is>
          <t>Delhi NCR</t>
        </is>
      </c>
      <c r="C18" s="10" t="inlineStr">
        <is>
          <t>Noida</t>
        </is>
      </c>
      <c r="D18" s="13" t="n">
        <v>43</v>
      </c>
      <c r="E18" s="15" t="n">
        <v>1</v>
      </c>
      <c r="F18" s="15" t="n">
        <v>1</v>
      </c>
      <c r="G18" s="12" t="n">
        <v>0</v>
      </c>
      <c r="H18" s="12" t="n">
        <v>2.974418604651163</v>
      </c>
    </row>
    <row r="19">
      <c r="B19" s="16" t="inlineStr">
        <is>
          <t>Delhi NCR</t>
        </is>
      </c>
      <c r="C19" s="16" t="inlineStr">
        <is>
          <t>South Delhi</t>
        </is>
      </c>
      <c r="D19" s="19" t="n">
        <v>48</v>
      </c>
      <c r="E19" s="21" t="n">
        <v>1</v>
      </c>
      <c r="F19" s="21" t="n">
        <v>1</v>
      </c>
      <c r="G19" s="18" t="n">
        <v>0</v>
      </c>
      <c r="H19" s="18" t="n">
        <v>3.964583333333334</v>
      </c>
    </row>
    <row r="20">
      <c r="B20" s="10" t="inlineStr">
        <is>
          <t>Delhi NCR</t>
        </is>
      </c>
      <c r="C20" s="10" t="inlineStr">
        <is>
          <t>West Delhi</t>
        </is>
      </c>
      <c r="D20" s="13" t="n">
        <v>57</v>
      </c>
      <c r="E20" s="15" t="n">
        <v>0.9361702127659575</v>
      </c>
      <c r="F20" s="15" t="n">
        <v>1</v>
      </c>
      <c r="G20" s="12" t="n">
        <v>0</v>
      </c>
      <c r="H20" s="12" t="n">
        <v>5.371929824561405</v>
      </c>
    </row>
    <row r="21">
      <c r="B21" s="16" t="inlineStr">
        <is>
          <t>Kolkata</t>
        </is>
      </c>
      <c r="C21" s="16" t="inlineStr">
        <is>
          <t>Central Kolkata</t>
        </is>
      </c>
      <c r="D21" s="19" t="n">
        <v>21</v>
      </c>
      <c r="E21" s="21" t="n">
        <v>1</v>
      </c>
      <c r="F21" s="21" t="n">
        <v>1</v>
      </c>
      <c r="G21" s="18" t="n">
        <v>0</v>
      </c>
      <c r="H21" s="18" t="n">
        <v>0</v>
      </c>
    </row>
    <row r="22">
      <c r="B22" s="10" t="inlineStr">
        <is>
          <t>Kolkata</t>
        </is>
      </c>
      <c r="C22" s="10" t="inlineStr">
        <is>
          <t>East Kolkata</t>
        </is>
      </c>
      <c r="D22" s="13" t="n">
        <v>36</v>
      </c>
      <c r="E22" s="15" t="n">
        <v>1</v>
      </c>
      <c r="F22" s="15" t="n">
        <v>1</v>
      </c>
      <c r="G22" s="12" t="n">
        <v>0</v>
      </c>
      <c r="H22" s="12" t="n">
        <v>6.047222222222222</v>
      </c>
    </row>
    <row r="23">
      <c r="B23" s="16" t="inlineStr">
        <is>
          <t>Kolkata</t>
        </is>
      </c>
      <c r="C23" s="16" t="inlineStr">
        <is>
          <t>Howrah</t>
        </is>
      </c>
      <c r="D23" s="19" t="n">
        <v>27</v>
      </c>
      <c r="E23" s="21" t="n">
        <v>1</v>
      </c>
      <c r="F23" s="21" t="n">
        <v>1</v>
      </c>
      <c r="G23" s="18" t="n">
        <v>0</v>
      </c>
      <c r="H23" s="18" t="n">
        <v>3.948148148148148</v>
      </c>
    </row>
    <row r="24">
      <c r="B24" s="10" t="inlineStr">
        <is>
          <t>Kolkata</t>
        </is>
      </c>
      <c r="C24" s="10" t="inlineStr">
        <is>
          <t>North Kolkata</t>
        </is>
      </c>
      <c r="D24" s="13" t="n">
        <v>27</v>
      </c>
      <c r="E24" s="15" t="n">
        <v>1</v>
      </c>
      <c r="F24" s="15" t="n">
        <v>0.9629629629629629</v>
      </c>
      <c r="G24" s="12" t="n">
        <v>0.5666666666666667</v>
      </c>
      <c r="H24" s="12" t="n">
        <v>10.71851851851852</v>
      </c>
    </row>
    <row r="25">
      <c r="B25" s="16" t="inlineStr">
        <is>
          <t>Kolkata</t>
        </is>
      </c>
      <c r="C25" s="16" t="inlineStr">
        <is>
          <t>South Kolkata</t>
        </is>
      </c>
      <c r="D25" s="19" t="n">
        <v>34</v>
      </c>
      <c r="E25" s="21" t="n">
        <v>1</v>
      </c>
      <c r="F25" s="21" t="n">
        <v>0.9705882352941176</v>
      </c>
      <c r="G25" s="18" t="n">
        <v>0.2794117647058824</v>
      </c>
      <c r="H25" s="18" t="n">
        <v>10.38529411764706</v>
      </c>
    </row>
    <row r="26">
      <c r="B26" s="10" t="inlineStr">
        <is>
          <t>Mumbai MMR</t>
        </is>
      </c>
      <c r="C26" s="10" t="inlineStr">
        <is>
          <t>Andheri</t>
        </is>
      </c>
      <c r="D26" s="13" t="n">
        <v>61</v>
      </c>
      <c r="E26" s="15" t="n">
        <v>1</v>
      </c>
      <c r="F26" s="15" t="n">
        <v>1</v>
      </c>
      <c r="G26" s="12" t="n">
        <v>0</v>
      </c>
      <c r="H26" s="12" t="n">
        <v>3.918032786885246</v>
      </c>
    </row>
    <row r="27">
      <c r="B27" s="16" t="inlineStr">
        <is>
          <t>Mumbai MMR</t>
        </is>
      </c>
      <c r="C27" s="16" t="inlineStr">
        <is>
          <t>Bandra</t>
        </is>
      </c>
      <c r="D27" s="19" t="n">
        <v>66</v>
      </c>
      <c r="E27" s="21" t="n">
        <v>1</v>
      </c>
      <c r="F27" s="21" t="n">
        <v>1</v>
      </c>
      <c r="G27" s="18" t="n">
        <v>0</v>
      </c>
      <c r="H27" s="18" t="n">
        <v>8.521212121212121</v>
      </c>
    </row>
    <row r="28">
      <c r="B28" s="10" t="inlineStr">
        <is>
          <t>Mumbai MMR</t>
        </is>
      </c>
      <c r="C28" s="10" t="inlineStr">
        <is>
          <t>Navi Mumbai</t>
        </is>
      </c>
      <c r="D28" s="13" t="n">
        <v>43</v>
      </c>
      <c r="E28" s="15" t="n">
        <v>1</v>
      </c>
      <c r="F28" s="15" t="n">
        <v>0.9534883720930233</v>
      </c>
      <c r="G28" s="12" t="n">
        <v>0.6813953488372092</v>
      </c>
      <c r="H28" s="12" t="n">
        <v>6.669767441860464</v>
      </c>
    </row>
    <row r="29">
      <c r="B29" s="16" t="inlineStr">
        <is>
          <t>Mumbai MMR</t>
        </is>
      </c>
      <c r="C29" s="16" t="inlineStr">
        <is>
          <t>South Mumbai</t>
        </is>
      </c>
      <c r="D29" s="19" t="n">
        <v>52</v>
      </c>
      <c r="E29" s="21" t="n">
        <v>0.9803921568627451</v>
      </c>
      <c r="F29" s="21" t="n">
        <v>1</v>
      </c>
      <c r="G29" s="18" t="n">
        <v>0</v>
      </c>
      <c r="H29" s="18" t="n">
        <v>9.846153846153847</v>
      </c>
    </row>
    <row r="30">
      <c r="B30" s="10" t="inlineStr">
        <is>
          <t>Mumbai MMR</t>
        </is>
      </c>
      <c r="C30" s="10" t="inlineStr">
        <is>
          <t>Thane</t>
        </is>
      </c>
      <c r="D30" s="13" t="n">
        <v>61</v>
      </c>
      <c r="E30" s="15" t="n">
        <v>1</v>
      </c>
      <c r="F30" s="15" t="n">
        <v>1</v>
      </c>
      <c r="G30" s="12" t="n">
        <v>0</v>
      </c>
      <c r="H30" s="12" t="n">
        <v>7.265573770491804</v>
      </c>
    </row>
    <row r="33">
      <c r="B33" s="7" t="inlineStr">
        <is>
          <t>Vehicle routes (optimized)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B34" s="22" t="inlineStr">
        <is>
          <t>Duty overrun = route exceeds driver duty limit when replayed under actual departure-time traffic; reported as overtime, not hidden.</t>
        </is>
      </c>
    </row>
    <row r="35" ht="30" customHeight="1">
      <c r="B35" s="9" t="inlineStr">
        <is>
          <t>City</t>
        </is>
      </c>
      <c r="C35" s="9" t="inlineStr">
        <is>
          <t>Depot</t>
        </is>
      </c>
      <c r="D35" s="9" t="inlineStr">
        <is>
          <t>Vehicle</t>
        </is>
      </c>
      <c r="E35" s="9" t="inlineStr">
        <is>
          <t>Type</t>
        </is>
      </c>
      <c r="F35" s="9" t="inlineStr">
        <is>
          <t>Stops</t>
        </is>
      </c>
      <c r="G35" s="9" t="inlineStr">
        <is>
          <t>Load util %</t>
        </is>
      </c>
      <c r="H35" s="9" t="inlineStr">
        <is>
          <t>Duty util %</t>
        </is>
      </c>
      <c r="I35" s="9" t="inlineStr">
        <is>
          <t>Straight km</t>
        </is>
      </c>
      <c r="J35" s="9" t="inlineStr">
        <is>
          <t>Road km (est.)</t>
        </is>
      </c>
      <c r="K35" s="9" t="inlineStr">
        <is>
          <t>Duration min</t>
        </is>
      </c>
      <c r="L35" s="9" t="inlineStr">
        <is>
          <t>Wait min</t>
        </is>
      </c>
      <c r="M35" s="9" t="inlineStr">
        <is>
          <t>Late stops</t>
        </is>
      </c>
      <c r="N35" s="9" t="inlineStr">
        <is>
          <t>Duty overrun</t>
        </is>
      </c>
      <c r="O35" s="9" t="inlineStr">
        <is>
          <t>Route cost ₹</t>
        </is>
      </c>
    </row>
    <row r="36">
      <c r="B36" s="10" t="inlineStr">
        <is>
          <t>Mumbai MMR</t>
        </is>
      </c>
      <c r="C36" s="10" t="inlineStr">
        <is>
          <t>DEP-MUM-DC</t>
        </is>
      </c>
      <c r="D36" s="10" t="inlineStr">
        <is>
          <t>VEH-MUM-001</t>
        </is>
      </c>
      <c r="E36" s="10" t="inlineStr">
        <is>
          <t>VAN_2T</t>
        </is>
      </c>
      <c r="F36" s="10" t="n">
        <v>16</v>
      </c>
      <c r="G36" s="12" t="n">
        <v>94.90000000000001</v>
      </c>
      <c r="H36" s="12" t="n">
        <v>84.3</v>
      </c>
      <c r="I36" s="12" t="n">
        <v>67.58</v>
      </c>
      <c r="J36" s="12" t="n">
        <v>91.23</v>
      </c>
      <c r="K36" s="12" t="n">
        <v>505.9</v>
      </c>
      <c r="L36" s="12" t="n">
        <v>71.90000000000001</v>
      </c>
      <c r="M36" s="10" t="n">
        <v>0</v>
      </c>
      <c r="N36" s="10" t="inlineStr">
        <is>
          <t>No</t>
        </is>
      </c>
      <c r="O36" s="30" t="n">
        <v>6381.33</v>
      </c>
    </row>
    <row r="37">
      <c r="B37" s="16" t="inlineStr">
        <is>
          <t>Mumbai MMR</t>
        </is>
      </c>
      <c r="C37" s="16" t="inlineStr">
        <is>
          <t>DEP-MUM-DC</t>
        </is>
      </c>
      <c r="D37" s="16" t="inlineStr">
        <is>
          <t>VEH-MUM-002</t>
        </is>
      </c>
      <c r="E37" s="16" t="inlineStr">
        <is>
          <t>VAN_2T</t>
        </is>
      </c>
      <c r="F37" s="16" t="n">
        <v>14</v>
      </c>
      <c r="G37" s="18" t="n">
        <v>91</v>
      </c>
      <c r="H37" s="18" t="n">
        <v>79.2</v>
      </c>
      <c r="I37" s="18" t="n">
        <v>68.22</v>
      </c>
      <c r="J37" s="18" t="n">
        <v>92.09</v>
      </c>
      <c r="K37" s="18" t="n">
        <v>474.9</v>
      </c>
      <c r="L37" s="18" t="n">
        <v>20.8</v>
      </c>
      <c r="M37" s="16" t="n">
        <v>0</v>
      </c>
      <c r="N37" s="16" t="inlineStr">
        <is>
          <t>No</t>
        </is>
      </c>
      <c r="O37" s="32" t="n">
        <v>6278.29</v>
      </c>
    </row>
    <row r="38">
      <c r="B38" s="10" t="inlineStr">
        <is>
          <t>Mumbai MMR</t>
        </is>
      </c>
      <c r="C38" s="10" t="inlineStr">
        <is>
          <t>DEP-MUM-DC</t>
        </is>
      </c>
      <c r="D38" s="10" t="inlineStr">
        <is>
          <t>VEH-MUM-003</t>
        </is>
      </c>
      <c r="E38" s="10" t="inlineStr">
        <is>
          <t>VAN_2T</t>
        </is>
      </c>
      <c r="F38" s="10" t="n">
        <v>16</v>
      </c>
      <c r="G38" s="12" t="n">
        <v>92.40000000000001</v>
      </c>
      <c r="H38" s="12" t="n">
        <v>83.59999999999999</v>
      </c>
      <c r="I38" s="12" t="n">
        <v>69.36</v>
      </c>
      <c r="J38" s="12" t="n">
        <v>93.63</v>
      </c>
      <c r="K38" s="12" t="n">
        <v>501.7</v>
      </c>
      <c r="L38" s="12" t="n">
        <v>0</v>
      </c>
      <c r="M38" s="10" t="n">
        <v>2</v>
      </c>
      <c r="N38" s="10" t="inlineStr">
        <is>
          <t>No</t>
        </is>
      </c>
      <c r="O38" s="30" t="n">
        <v>6408.71</v>
      </c>
    </row>
    <row r="39">
      <c r="B39" s="16" t="inlineStr">
        <is>
          <t>Mumbai MMR</t>
        </is>
      </c>
      <c r="C39" s="16" t="inlineStr">
        <is>
          <t>DEP-MUM-DC</t>
        </is>
      </c>
      <c r="D39" s="16" t="inlineStr">
        <is>
          <t>VEH-MUM-007</t>
        </is>
      </c>
      <c r="E39" s="16" t="inlineStr">
        <is>
          <t>TEMPO_1T</t>
        </is>
      </c>
      <c r="F39" s="16" t="n">
        <v>13</v>
      </c>
      <c r="G39" s="18" t="n">
        <v>92.09999999999999</v>
      </c>
      <c r="H39" s="18" t="n">
        <v>72.8</v>
      </c>
      <c r="I39" s="18" t="n">
        <v>72.81</v>
      </c>
      <c r="J39" s="18" t="n">
        <v>98.3</v>
      </c>
      <c r="K39" s="18" t="n">
        <v>436.6</v>
      </c>
      <c r="L39" s="18" t="n">
        <v>0</v>
      </c>
      <c r="M39" s="16" t="n">
        <v>0</v>
      </c>
      <c r="N39" s="16" t="inlineStr">
        <is>
          <t>No</t>
        </is>
      </c>
      <c r="O39" s="32" t="n">
        <v>4705.95</v>
      </c>
    </row>
    <row r="40">
      <c r="B40" s="10" t="inlineStr">
        <is>
          <t>Mumbai MMR</t>
        </is>
      </c>
      <c r="C40" s="10" t="inlineStr">
        <is>
          <t>DEP-MUM-DC</t>
        </is>
      </c>
      <c r="D40" s="10" t="inlineStr">
        <is>
          <t>VEH-MUM-008</t>
        </is>
      </c>
      <c r="E40" s="10" t="inlineStr">
        <is>
          <t>TEMPO_1T</t>
        </is>
      </c>
      <c r="F40" s="10" t="n">
        <v>13</v>
      </c>
      <c r="G40" s="12" t="n">
        <v>84.7</v>
      </c>
      <c r="H40" s="12" t="n">
        <v>99.90000000000001</v>
      </c>
      <c r="I40" s="12" t="n">
        <v>91.97</v>
      </c>
      <c r="J40" s="12" t="n">
        <v>124.16</v>
      </c>
      <c r="K40" s="12" t="n">
        <v>599.6</v>
      </c>
      <c r="L40" s="12" t="n">
        <v>128.8</v>
      </c>
      <c r="M40" s="10" t="n">
        <v>0</v>
      </c>
      <c r="N40" s="10" t="inlineStr">
        <is>
          <t>No</t>
        </is>
      </c>
      <c r="O40" s="30" t="n">
        <v>5612.74</v>
      </c>
    </row>
    <row r="41">
      <c r="B41" s="16" t="inlineStr">
        <is>
          <t>Mumbai MMR</t>
        </is>
      </c>
      <c r="C41" s="16" t="inlineStr">
        <is>
          <t>DEP-MUM-DC</t>
        </is>
      </c>
      <c r="D41" s="16" t="inlineStr">
        <is>
          <t>VEH-MUM-009</t>
        </is>
      </c>
      <c r="E41" s="16" t="inlineStr">
        <is>
          <t>TEMPO_1T</t>
        </is>
      </c>
      <c r="F41" s="16" t="n">
        <v>8</v>
      </c>
      <c r="G41" s="18" t="n">
        <v>97.59999999999999</v>
      </c>
      <c r="H41" s="18" t="n">
        <v>74</v>
      </c>
      <c r="I41" s="18" t="n">
        <v>91.34</v>
      </c>
      <c r="J41" s="18" t="n">
        <v>123.31</v>
      </c>
      <c r="K41" s="18" t="n">
        <v>444</v>
      </c>
      <c r="L41" s="18" t="n">
        <v>62.2</v>
      </c>
      <c r="M41" s="16" t="n">
        <v>0</v>
      </c>
      <c r="N41" s="16" t="inlineStr">
        <is>
          <t>No</t>
        </is>
      </c>
      <c r="O41" s="32" t="n">
        <v>5057.05</v>
      </c>
    </row>
    <row r="42">
      <c r="B42" s="10" t="inlineStr">
        <is>
          <t>Mumbai MMR</t>
        </is>
      </c>
      <c r="C42" s="10" t="inlineStr">
        <is>
          <t>DEP-MUM-DC</t>
        </is>
      </c>
      <c r="D42" s="10" t="inlineStr">
        <is>
          <t>VEH-MUM-010</t>
        </is>
      </c>
      <c r="E42" s="10" t="inlineStr">
        <is>
          <t>TEMPO_1T</t>
        </is>
      </c>
      <c r="F42" s="10" t="n">
        <v>22</v>
      </c>
      <c r="G42" s="12" t="n">
        <v>97.2</v>
      </c>
      <c r="H42" s="12" t="n">
        <v>92.7</v>
      </c>
      <c r="I42" s="12" t="n">
        <v>93.2</v>
      </c>
      <c r="J42" s="12" t="n">
        <v>125.82</v>
      </c>
      <c r="K42" s="12" t="n">
        <v>556.1</v>
      </c>
      <c r="L42" s="12" t="n">
        <v>51.3</v>
      </c>
      <c r="M42" s="10" t="n">
        <v>0</v>
      </c>
      <c r="N42" s="10" t="inlineStr">
        <is>
          <t>No</t>
        </is>
      </c>
      <c r="O42" s="30" t="n">
        <v>5482.04</v>
      </c>
    </row>
    <row r="43">
      <c r="B43" s="16" t="inlineStr">
        <is>
          <t>Mumbai MMR</t>
        </is>
      </c>
      <c r="C43" s="16" t="inlineStr">
        <is>
          <t>DEP-MUM-MFC</t>
        </is>
      </c>
      <c r="D43" s="16" t="inlineStr">
        <is>
          <t>VEH-MUM-012</t>
        </is>
      </c>
      <c r="E43" s="16" t="inlineStr">
        <is>
          <t>TEMPO_1T</t>
        </is>
      </c>
      <c r="F43" s="16" t="n">
        <v>35</v>
      </c>
      <c r="G43" s="18" t="n">
        <v>12.6</v>
      </c>
      <c r="H43" s="18" t="n">
        <v>90.8</v>
      </c>
      <c r="I43" s="18" t="n">
        <v>67.5</v>
      </c>
      <c r="J43" s="18" t="n">
        <v>91.12</v>
      </c>
      <c r="K43" s="18" t="n">
        <v>544.6</v>
      </c>
      <c r="L43" s="18" t="n">
        <v>156.4</v>
      </c>
      <c r="M43" s="16" t="n">
        <v>0</v>
      </c>
      <c r="N43" s="16" t="inlineStr">
        <is>
          <t>No</t>
        </is>
      </c>
      <c r="O43" s="32" t="n">
        <v>4990.53</v>
      </c>
    </row>
    <row r="44">
      <c r="B44" s="10" t="inlineStr">
        <is>
          <t>Mumbai MMR</t>
        </is>
      </c>
      <c r="C44" s="10" t="inlineStr">
        <is>
          <t>DEP-MUM-MFC</t>
        </is>
      </c>
      <c r="D44" s="10" t="inlineStr">
        <is>
          <t>VEH-MUM-013</t>
        </is>
      </c>
      <c r="E44" s="10" t="inlineStr">
        <is>
          <t>TEMPO_1T</t>
        </is>
      </c>
      <c r="F44" s="10" t="n">
        <v>29</v>
      </c>
      <c r="G44" s="12" t="n">
        <v>11</v>
      </c>
      <c r="H44" s="12" t="n">
        <v>78.2</v>
      </c>
      <c r="I44" s="12" t="n">
        <v>61.11</v>
      </c>
      <c r="J44" s="12" t="n">
        <v>82.5</v>
      </c>
      <c r="K44" s="12" t="n">
        <v>469.5</v>
      </c>
      <c r="L44" s="12" t="n">
        <v>115</v>
      </c>
      <c r="M44" s="10" t="n">
        <v>0</v>
      </c>
      <c r="N44" s="10" t="inlineStr">
        <is>
          <t>No</t>
        </is>
      </c>
      <c r="O44" s="30" t="n">
        <v>4615.63</v>
      </c>
    </row>
    <row r="45">
      <c r="B45" s="16" t="inlineStr">
        <is>
          <t>Mumbai MMR</t>
        </is>
      </c>
      <c r="C45" s="16" t="inlineStr">
        <is>
          <t>DEP-MUM-MFC</t>
        </is>
      </c>
      <c r="D45" s="16" t="inlineStr">
        <is>
          <t>VEH-MUM-014</t>
        </is>
      </c>
      <c r="E45" s="16" t="inlineStr">
        <is>
          <t>TEMPO_1T</t>
        </is>
      </c>
      <c r="F45" s="16" t="n">
        <v>32</v>
      </c>
      <c r="G45" s="18" t="n">
        <v>10.9</v>
      </c>
      <c r="H45" s="18" t="n">
        <v>102.8</v>
      </c>
      <c r="I45" s="18" t="n">
        <v>34.9</v>
      </c>
      <c r="J45" s="18" t="n">
        <v>47.12</v>
      </c>
      <c r="K45" s="18" t="n">
        <v>617</v>
      </c>
      <c r="L45" s="18" t="n">
        <v>320.1</v>
      </c>
      <c r="M45" s="16" t="n">
        <v>0</v>
      </c>
      <c r="N45" s="16" t="inlineStr">
        <is>
          <t>Yes</t>
        </is>
      </c>
      <c r="O45" s="32" t="n">
        <v>4672.09</v>
      </c>
    </row>
    <row r="46">
      <c r="B46" s="10" t="inlineStr">
        <is>
          <t>Mumbai MMR</t>
        </is>
      </c>
      <c r="C46" s="10" t="inlineStr">
        <is>
          <t>DEP-MUM-MFC</t>
        </is>
      </c>
      <c r="D46" s="10" t="inlineStr">
        <is>
          <t>VEH-MUM-015</t>
        </is>
      </c>
      <c r="E46" s="10" t="inlineStr">
        <is>
          <t>TWO_WHEELER</t>
        </is>
      </c>
      <c r="F46" s="10" t="n">
        <v>6</v>
      </c>
      <c r="G46" s="12" t="n">
        <v>58.7</v>
      </c>
      <c r="H46" s="12" t="n">
        <v>66.09999999999999</v>
      </c>
      <c r="I46" s="12" t="n">
        <v>27.66</v>
      </c>
      <c r="J46" s="12" t="n">
        <v>37.33</v>
      </c>
      <c r="K46" s="12" t="n">
        <v>317.3</v>
      </c>
      <c r="L46" s="12" t="n">
        <v>172.7</v>
      </c>
      <c r="M46" s="10" t="n">
        <v>0</v>
      </c>
      <c r="N46" s="10" t="inlineStr">
        <is>
          <t>No</t>
        </is>
      </c>
      <c r="O46" s="30" t="n">
        <v>1426.68</v>
      </c>
    </row>
    <row r="47">
      <c r="B47" s="16" t="inlineStr">
        <is>
          <t>Mumbai MMR</t>
        </is>
      </c>
      <c r="C47" s="16" t="inlineStr">
        <is>
          <t>DEP-MUM-MFC</t>
        </is>
      </c>
      <c r="D47" s="16" t="inlineStr">
        <is>
          <t>VEH-MUM-016</t>
        </is>
      </c>
      <c r="E47" s="16" t="inlineStr">
        <is>
          <t>TWO_WHEELER</t>
        </is>
      </c>
      <c r="F47" s="16" t="n">
        <v>7</v>
      </c>
      <c r="G47" s="18" t="n">
        <v>70.09999999999999</v>
      </c>
      <c r="H47" s="18" t="n">
        <v>47</v>
      </c>
      <c r="I47" s="18" t="n">
        <v>34.24</v>
      </c>
      <c r="J47" s="18" t="n">
        <v>46.22</v>
      </c>
      <c r="K47" s="18" t="n">
        <v>225.6</v>
      </c>
      <c r="L47" s="18" t="n">
        <v>57.5</v>
      </c>
      <c r="M47" s="16" t="n">
        <v>0</v>
      </c>
      <c r="N47" s="16" t="inlineStr">
        <is>
          <t>No</t>
        </is>
      </c>
      <c r="O47" s="32" t="n">
        <v>1213.25</v>
      </c>
    </row>
    <row r="48">
      <c r="B48" s="10" t="inlineStr">
        <is>
          <t>Mumbai MMR</t>
        </is>
      </c>
      <c r="C48" s="10" t="inlineStr">
        <is>
          <t>DEP-MUM-MFC</t>
        </is>
      </c>
      <c r="D48" s="10" t="inlineStr">
        <is>
          <t>VEH-MUM-017</t>
        </is>
      </c>
      <c r="E48" s="10" t="inlineStr">
        <is>
          <t>TWO_WHEELER</t>
        </is>
      </c>
      <c r="F48" s="10" t="n">
        <v>11</v>
      </c>
      <c r="G48" s="12" t="n">
        <v>87</v>
      </c>
      <c r="H48" s="12" t="n">
        <v>77.3</v>
      </c>
      <c r="I48" s="12" t="n">
        <v>49.93</v>
      </c>
      <c r="J48" s="12" t="n">
        <v>67.40000000000001</v>
      </c>
      <c r="K48" s="12" t="n">
        <v>371</v>
      </c>
      <c r="L48" s="12" t="n">
        <v>102.3</v>
      </c>
      <c r="M48" s="10" t="n">
        <v>0</v>
      </c>
      <c r="N48" s="10" t="inlineStr">
        <is>
          <t>No</t>
        </is>
      </c>
      <c r="O48" s="30" t="n">
        <v>1675.32</v>
      </c>
    </row>
    <row r="49">
      <c r="B49" s="16" t="inlineStr">
        <is>
          <t>Mumbai MMR</t>
        </is>
      </c>
      <c r="C49" s="16" t="inlineStr">
        <is>
          <t>DEP-MUM-HUB</t>
        </is>
      </c>
      <c r="D49" s="16" t="inlineStr">
        <is>
          <t>VEH-MUM-018</t>
        </is>
      </c>
      <c r="E49" s="16" t="inlineStr">
        <is>
          <t>VAN_2T</t>
        </is>
      </c>
      <c r="F49" s="16" t="n">
        <v>14</v>
      </c>
      <c r="G49" s="18" t="n">
        <v>96.7</v>
      </c>
      <c r="H49" s="18" t="n">
        <v>72.09999999999999</v>
      </c>
      <c r="I49" s="18" t="n">
        <v>43.54</v>
      </c>
      <c r="J49" s="18" t="n">
        <v>58.78</v>
      </c>
      <c r="K49" s="18" t="n">
        <v>432.8</v>
      </c>
      <c r="L49" s="18" t="n">
        <v>58</v>
      </c>
      <c r="M49" s="16" t="n">
        <v>0</v>
      </c>
      <c r="N49" s="16" t="inlineStr">
        <is>
          <t>No</t>
        </is>
      </c>
      <c r="O49" s="32" t="n">
        <v>5517.02</v>
      </c>
    </row>
    <row r="50">
      <c r="B50" s="10" t="inlineStr">
        <is>
          <t>Mumbai MMR</t>
        </is>
      </c>
      <c r="C50" s="10" t="inlineStr">
        <is>
          <t>DEP-MUM-HUB</t>
        </is>
      </c>
      <c r="D50" s="10" t="inlineStr">
        <is>
          <t>VEH-MUM-019</t>
        </is>
      </c>
      <c r="E50" s="10" t="inlineStr">
        <is>
          <t>VAN_2T</t>
        </is>
      </c>
      <c r="F50" s="10" t="n">
        <v>14</v>
      </c>
      <c r="G50" s="12" t="n">
        <v>92.40000000000001</v>
      </c>
      <c r="H50" s="12" t="n">
        <v>102.6</v>
      </c>
      <c r="I50" s="12" t="n">
        <v>55.86</v>
      </c>
      <c r="J50" s="12" t="n">
        <v>75.41</v>
      </c>
      <c r="K50" s="12" t="n">
        <v>615.8</v>
      </c>
      <c r="L50" s="12" t="n">
        <v>207.2</v>
      </c>
      <c r="M50" s="10" t="n">
        <v>0</v>
      </c>
      <c r="N50" s="10" t="inlineStr">
        <is>
          <t>Yes</t>
        </is>
      </c>
      <c r="O50" s="30" t="n">
        <v>6517.96</v>
      </c>
    </row>
    <row r="51">
      <c r="B51" s="16" t="inlineStr">
        <is>
          <t>Mumbai MMR</t>
        </is>
      </c>
      <c r="C51" s="16" t="inlineStr">
        <is>
          <t>DEP-MUM-HUB</t>
        </is>
      </c>
      <c r="D51" s="16" t="inlineStr">
        <is>
          <t>VEH-MUM-020</t>
        </is>
      </c>
      <c r="E51" s="16" t="inlineStr">
        <is>
          <t>VAN_2T</t>
        </is>
      </c>
      <c r="F51" s="16" t="n">
        <v>18</v>
      </c>
      <c r="G51" s="18" t="n">
        <v>65.7</v>
      </c>
      <c r="H51" s="18" t="n">
        <v>70.59999999999999</v>
      </c>
      <c r="I51" s="18" t="n">
        <v>26.09</v>
      </c>
      <c r="J51" s="18" t="n">
        <v>35.22</v>
      </c>
      <c r="K51" s="18" t="n">
        <v>423.8</v>
      </c>
      <c r="L51" s="18" t="n">
        <v>144.6</v>
      </c>
      <c r="M51" s="16" t="n">
        <v>0</v>
      </c>
      <c r="N51" s="16" t="inlineStr">
        <is>
          <t>No</t>
        </is>
      </c>
      <c r="O51" s="32" t="n">
        <v>5058.38</v>
      </c>
    </row>
    <row r="52">
      <c r="B52" s="10" t="inlineStr">
        <is>
          <t>Mumbai MMR</t>
        </is>
      </c>
      <c r="C52" s="10" t="inlineStr">
        <is>
          <t>DEP-MUM-HUB</t>
        </is>
      </c>
      <c r="D52" s="10" t="inlineStr">
        <is>
          <t>VEH-MUM-023</t>
        </is>
      </c>
      <c r="E52" s="10" t="inlineStr">
        <is>
          <t>TEMPO_1T</t>
        </is>
      </c>
      <c r="F52" s="10" t="n">
        <v>9</v>
      </c>
      <c r="G52" s="12" t="n">
        <v>93.59999999999999</v>
      </c>
      <c r="H52" s="12" t="n">
        <v>88.59999999999999</v>
      </c>
      <c r="I52" s="12" t="n">
        <v>54.25</v>
      </c>
      <c r="J52" s="12" t="n">
        <v>73.23999999999999</v>
      </c>
      <c r="K52" s="12" t="n">
        <v>531.8</v>
      </c>
      <c r="L52" s="12" t="n">
        <v>232.4</v>
      </c>
      <c r="M52" s="10" t="n">
        <v>0</v>
      </c>
      <c r="N52" s="10" t="inlineStr">
        <is>
          <t>No</t>
        </is>
      </c>
      <c r="O52" s="30" t="n">
        <v>4713.51</v>
      </c>
    </row>
    <row r="53">
      <c r="B53" s="16" t="inlineStr">
        <is>
          <t>Mumbai MMR</t>
        </is>
      </c>
      <c r="C53" s="16" t="inlineStr">
        <is>
          <t>DEP-MUM-HUB</t>
        </is>
      </c>
      <c r="D53" s="16" t="inlineStr">
        <is>
          <t>VEH-MUM-025</t>
        </is>
      </c>
      <c r="E53" s="16" t="inlineStr">
        <is>
          <t>TWO_WHEELER</t>
        </is>
      </c>
      <c r="F53" s="16" t="n">
        <v>6</v>
      </c>
      <c r="G53" s="18" t="n">
        <v>60.3</v>
      </c>
      <c r="H53" s="18" t="n">
        <v>69.59999999999999</v>
      </c>
      <c r="I53" s="18" t="n">
        <v>35.21</v>
      </c>
      <c r="J53" s="18" t="n">
        <v>47.53</v>
      </c>
      <c r="K53" s="18" t="n">
        <v>333.9</v>
      </c>
      <c r="L53" s="18" t="n">
        <v>142.2</v>
      </c>
      <c r="M53" s="16" t="n">
        <v>0</v>
      </c>
      <c r="N53" s="16" t="inlineStr">
        <is>
          <t>No</t>
        </is>
      </c>
      <c r="O53" s="32" t="n">
        <v>1506.87</v>
      </c>
    </row>
    <row r="54">
      <c r="B54" s="10" t="inlineStr">
        <is>
          <t>Delhi NCR</t>
        </is>
      </c>
      <c r="C54" s="10" t="inlineStr">
        <is>
          <t>DEP-DEL-DC</t>
        </is>
      </c>
      <c r="D54" s="10" t="inlineStr">
        <is>
          <t>VEH-DEL-001</t>
        </is>
      </c>
      <c r="E54" s="10" t="inlineStr">
        <is>
          <t>VAN_2T</t>
        </is>
      </c>
      <c r="F54" s="10" t="n">
        <v>10</v>
      </c>
      <c r="G54" s="12" t="n">
        <v>59.6</v>
      </c>
      <c r="H54" s="12" t="n">
        <v>92.2</v>
      </c>
      <c r="I54" s="12" t="n">
        <v>99.12</v>
      </c>
      <c r="J54" s="12" t="n">
        <v>133.81</v>
      </c>
      <c r="K54" s="12" t="n">
        <v>553.1</v>
      </c>
      <c r="L54" s="12" t="n">
        <v>74.7</v>
      </c>
      <c r="M54" s="10" t="n">
        <v>0</v>
      </c>
      <c r="N54" s="10" t="inlineStr">
        <is>
          <t>No</t>
        </is>
      </c>
      <c r="O54" s="30" t="n">
        <v>7328.85</v>
      </c>
    </row>
    <row r="55">
      <c r="B55" s="16" t="inlineStr">
        <is>
          <t>Delhi NCR</t>
        </is>
      </c>
      <c r="C55" s="16" t="inlineStr">
        <is>
          <t>DEP-DEL-DC</t>
        </is>
      </c>
      <c r="D55" s="16" t="inlineStr">
        <is>
          <t>VEH-DEL-002</t>
        </is>
      </c>
      <c r="E55" s="16" t="inlineStr">
        <is>
          <t>VAN_2T</t>
        </is>
      </c>
      <c r="F55" s="16" t="n">
        <v>8</v>
      </c>
      <c r="G55" s="18" t="n">
        <v>40.9</v>
      </c>
      <c r="H55" s="18" t="n">
        <v>52.9</v>
      </c>
      <c r="I55" s="18" t="n">
        <v>60.73</v>
      </c>
      <c r="J55" s="18" t="n">
        <v>81.98999999999999</v>
      </c>
      <c r="K55" s="18" t="n">
        <v>317.3</v>
      </c>
      <c r="L55" s="18" t="n">
        <v>9.5</v>
      </c>
      <c r="M55" s="16" t="n">
        <v>0</v>
      </c>
      <c r="N55" s="16" t="inlineStr">
        <is>
          <t>No</t>
        </is>
      </c>
      <c r="O55" s="32" t="n">
        <v>5492.27</v>
      </c>
    </row>
    <row r="56">
      <c r="B56" s="10" t="inlineStr">
        <is>
          <t>Delhi NCR</t>
        </is>
      </c>
      <c r="C56" s="10" t="inlineStr">
        <is>
          <t>DEP-DEL-DC</t>
        </is>
      </c>
      <c r="D56" s="10" t="inlineStr">
        <is>
          <t>VEH-DEL-007</t>
        </is>
      </c>
      <c r="E56" s="10" t="inlineStr">
        <is>
          <t>TEMPO_1T</t>
        </is>
      </c>
      <c r="F56" s="10" t="n">
        <v>5</v>
      </c>
      <c r="G56" s="12" t="n">
        <v>98.7</v>
      </c>
      <c r="H56" s="12" t="n">
        <v>86.5</v>
      </c>
      <c r="I56" s="12" t="n">
        <v>107.58</v>
      </c>
      <c r="J56" s="12" t="n">
        <v>145.23</v>
      </c>
      <c r="K56" s="12" t="n">
        <v>518.9</v>
      </c>
      <c r="L56" s="12" t="n">
        <v>120.1</v>
      </c>
      <c r="M56" s="10" t="n">
        <v>0</v>
      </c>
      <c r="N56" s="10" t="inlineStr">
        <is>
          <t>No</t>
        </is>
      </c>
      <c r="O56" s="30" t="n">
        <v>5604.16</v>
      </c>
    </row>
    <row r="57">
      <c r="B57" s="16" t="inlineStr">
        <is>
          <t>Delhi NCR</t>
        </is>
      </c>
      <c r="C57" s="16" t="inlineStr">
        <is>
          <t>DEP-DEL-DC</t>
        </is>
      </c>
      <c r="D57" s="16" t="inlineStr">
        <is>
          <t>VEH-DEL-008</t>
        </is>
      </c>
      <c r="E57" s="16" t="inlineStr">
        <is>
          <t>TEMPO_1T</t>
        </is>
      </c>
      <c r="F57" s="16" t="n">
        <v>9</v>
      </c>
      <c r="G57" s="18" t="n">
        <v>98.09999999999999</v>
      </c>
      <c r="H57" s="18" t="n">
        <v>93</v>
      </c>
      <c r="I57" s="18" t="n">
        <v>120.63</v>
      </c>
      <c r="J57" s="18" t="n">
        <v>162.85</v>
      </c>
      <c r="K57" s="18" t="n">
        <v>557.8</v>
      </c>
      <c r="L57" s="18" t="n">
        <v>90.59999999999999</v>
      </c>
      <c r="M57" s="16" t="n">
        <v>0</v>
      </c>
      <c r="N57" s="16" t="inlineStr">
        <is>
          <t>No</t>
        </is>
      </c>
      <c r="O57" s="32" t="n">
        <v>5969.47</v>
      </c>
    </row>
    <row r="58">
      <c r="B58" s="10" t="inlineStr">
        <is>
          <t>Delhi NCR</t>
        </is>
      </c>
      <c r="C58" s="10" t="inlineStr">
        <is>
          <t>DEP-DEL-DC</t>
        </is>
      </c>
      <c r="D58" s="10" t="inlineStr">
        <is>
          <t>VEH-DEL-009</t>
        </is>
      </c>
      <c r="E58" s="10" t="inlineStr">
        <is>
          <t>TEMPO_1T</t>
        </is>
      </c>
      <c r="F58" s="10" t="n">
        <v>8</v>
      </c>
      <c r="G58" s="12" t="n">
        <v>97.5</v>
      </c>
      <c r="H58" s="12" t="n">
        <v>87.09999999999999</v>
      </c>
      <c r="I58" s="12" t="n">
        <v>96.86</v>
      </c>
      <c r="J58" s="12" t="n">
        <v>130.76</v>
      </c>
      <c r="K58" s="12" t="n">
        <v>522.4</v>
      </c>
      <c r="L58" s="12" t="n">
        <v>110.9</v>
      </c>
      <c r="M58" s="10" t="n">
        <v>0</v>
      </c>
      <c r="N58" s="10" t="inlineStr">
        <is>
          <t>No</t>
        </is>
      </c>
      <c r="O58" s="30" t="n">
        <v>5428.47</v>
      </c>
    </row>
    <row r="59">
      <c r="B59" s="16" t="inlineStr">
        <is>
          <t>Delhi NCR</t>
        </is>
      </c>
      <c r="C59" s="16" t="inlineStr">
        <is>
          <t>DEP-DEL-DC</t>
        </is>
      </c>
      <c r="D59" s="16" t="inlineStr">
        <is>
          <t>VEH-DEL-010</t>
        </is>
      </c>
      <c r="E59" s="16" t="inlineStr">
        <is>
          <t>TEMPO_1T</t>
        </is>
      </c>
      <c r="F59" s="16" t="n">
        <v>12</v>
      </c>
      <c r="G59" s="18" t="n">
        <v>90.90000000000001</v>
      </c>
      <c r="H59" s="18" t="n">
        <v>88.40000000000001</v>
      </c>
      <c r="I59" s="18" t="n">
        <v>108.02</v>
      </c>
      <c r="J59" s="18" t="n">
        <v>145.83</v>
      </c>
      <c r="K59" s="18" t="n">
        <v>530.1</v>
      </c>
      <c r="L59" s="18" t="n">
        <v>0</v>
      </c>
      <c r="M59" s="16" t="n">
        <v>0</v>
      </c>
      <c r="N59" s="16" t="inlineStr">
        <is>
          <t>No</t>
        </is>
      </c>
      <c r="O59" s="32" t="n">
        <v>5651.25</v>
      </c>
    </row>
    <row r="60">
      <c r="B60" s="10" t="inlineStr">
        <is>
          <t>Delhi NCR</t>
        </is>
      </c>
      <c r="C60" s="10" t="inlineStr">
        <is>
          <t>DEP-DEL-MFC</t>
        </is>
      </c>
      <c r="D60" s="10" t="inlineStr">
        <is>
          <t>VEH-DEL-011</t>
        </is>
      </c>
      <c r="E60" s="10" t="inlineStr">
        <is>
          <t>VAN_2T</t>
        </is>
      </c>
      <c r="F60" s="10" t="n">
        <v>11</v>
      </c>
      <c r="G60" s="12" t="n">
        <v>3.9</v>
      </c>
      <c r="H60" s="12" t="n">
        <v>48.3</v>
      </c>
      <c r="I60" s="12" t="n">
        <v>51.66</v>
      </c>
      <c r="J60" s="12" t="n">
        <v>69.73999999999999</v>
      </c>
      <c r="K60" s="12" t="n">
        <v>289.9</v>
      </c>
      <c r="L60" s="12" t="n">
        <v>47.1</v>
      </c>
      <c r="M60" s="10" t="n">
        <v>0</v>
      </c>
      <c r="N60" s="10" t="inlineStr">
        <is>
          <t>No</t>
        </is>
      </c>
      <c r="O60" s="30" t="n">
        <v>5166.44</v>
      </c>
    </row>
    <row r="61">
      <c r="B61" s="16" t="inlineStr">
        <is>
          <t>Delhi NCR</t>
        </is>
      </c>
      <c r="C61" s="16" t="inlineStr">
        <is>
          <t>DEP-DEL-MFC</t>
        </is>
      </c>
      <c r="D61" s="16" t="inlineStr">
        <is>
          <t>VEH-DEL-012</t>
        </is>
      </c>
      <c r="E61" s="16" t="inlineStr">
        <is>
          <t>TEMPO_1T</t>
        </is>
      </c>
      <c r="F61" s="16" t="n">
        <v>30</v>
      </c>
      <c r="G61" s="18" t="n">
        <v>13.2</v>
      </c>
      <c r="H61" s="18" t="n">
        <v>76.2</v>
      </c>
      <c r="I61" s="18" t="n">
        <v>59.31</v>
      </c>
      <c r="J61" s="18" t="n">
        <v>80.06999999999999</v>
      </c>
      <c r="K61" s="18" t="n">
        <v>457.4</v>
      </c>
      <c r="L61" s="18" t="n">
        <v>76.90000000000001</v>
      </c>
      <c r="M61" s="16" t="n">
        <v>0</v>
      </c>
      <c r="N61" s="16" t="inlineStr">
        <is>
          <t>No</t>
        </is>
      </c>
      <c r="O61" s="32" t="n">
        <v>4541.77</v>
      </c>
    </row>
    <row r="62">
      <c r="B62" s="10" t="inlineStr">
        <is>
          <t>Delhi NCR</t>
        </is>
      </c>
      <c r="C62" s="10" t="inlineStr">
        <is>
          <t>DEP-DEL-MFC</t>
        </is>
      </c>
      <c r="D62" s="10" t="inlineStr">
        <is>
          <t>VEH-DEL-013</t>
        </is>
      </c>
      <c r="E62" s="10" t="inlineStr">
        <is>
          <t>TEMPO_1T</t>
        </is>
      </c>
      <c r="F62" s="10" t="n">
        <v>27</v>
      </c>
      <c r="G62" s="12" t="n">
        <v>9.199999999999999</v>
      </c>
      <c r="H62" s="12" t="n">
        <v>81</v>
      </c>
      <c r="I62" s="12" t="n">
        <v>78.73999999999999</v>
      </c>
      <c r="J62" s="12" t="n">
        <v>106.3</v>
      </c>
      <c r="K62" s="12" t="n">
        <v>486.2</v>
      </c>
      <c r="L62" s="12" t="n">
        <v>118.7</v>
      </c>
      <c r="M62" s="10" t="n">
        <v>0</v>
      </c>
      <c r="N62" s="10" t="inlineStr">
        <is>
          <t>No</t>
        </is>
      </c>
      <c r="O62" s="30" t="n">
        <v>4983.57</v>
      </c>
    </row>
    <row r="63">
      <c r="B63" s="16" t="inlineStr">
        <is>
          <t>Delhi NCR</t>
        </is>
      </c>
      <c r="C63" s="16" t="inlineStr">
        <is>
          <t>DEP-DEL-MFC</t>
        </is>
      </c>
      <c r="D63" s="16" t="inlineStr">
        <is>
          <t>VEH-DEL-014</t>
        </is>
      </c>
      <c r="E63" s="16" t="inlineStr">
        <is>
          <t>TEMPO_1T</t>
        </is>
      </c>
      <c r="F63" s="16" t="n">
        <v>29</v>
      </c>
      <c r="G63" s="18" t="n">
        <v>12.8</v>
      </c>
      <c r="H63" s="18" t="n">
        <v>97.5</v>
      </c>
      <c r="I63" s="18" t="n">
        <v>81.25</v>
      </c>
      <c r="J63" s="18" t="n">
        <v>109.68</v>
      </c>
      <c r="K63" s="18" t="n">
        <v>584.9</v>
      </c>
      <c r="L63" s="18" t="n">
        <v>133</v>
      </c>
      <c r="M63" s="16" t="n">
        <v>0</v>
      </c>
      <c r="N63" s="16" t="inlineStr">
        <is>
          <t>No</t>
        </is>
      </c>
      <c r="O63" s="32" t="n">
        <v>5372.9</v>
      </c>
    </row>
    <row r="64">
      <c r="B64" s="10" t="inlineStr">
        <is>
          <t>Delhi NCR</t>
        </is>
      </c>
      <c r="C64" s="10" t="inlineStr">
        <is>
          <t>DEP-DEL-MFC</t>
        </is>
      </c>
      <c r="D64" s="10" t="inlineStr">
        <is>
          <t>VEH-DEL-015</t>
        </is>
      </c>
      <c r="E64" s="10" t="inlineStr">
        <is>
          <t>TWO_WHEELER</t>
        </is>
      </c>
      <c r="F64" s="10" t="n">
        <v>11</v>
      </c>
      <c r="G64" s="12" t="n">
        <v>86.09999999999999</v>
      </c>
      <c r="H64" s="12" t="n">
        <v>90</v>
      </c>
      <c r="I64" s="12" t="n">
        <v>48.55</v>
      </c>
      <c r="J64" s="12" t="n">
        <v>65.55</v>
      </c>
      <c r="K64" s="12" t="n">
        <v>431.8</v>
      </c>
      <c r="L64" s="12" t="n">
        <v>176</v>
      </c>
      <c r="M64" s="10" t="n">
        <v>0</v>
      </c>
      <c r="N64" s="10" t="inlineStr">
        <is>
          <t>No</t>
        </is>
      </c>
      <c r="O64" s="30" t="n">
        <v>1830.87</v>
      </c>
    </row>
    <row r="65">
      <c r="B65" s="16" t="inlineStr">
        <is>
          <t>Delhi NCR</t>
        </is>
      </c>
      <c r="C65" s="16" t="inlineStr">
        <is>
          <t>DEP-DEL-MFC</t>
        </is>
      </c>
      <c r="D65" s="16" t="inlineStr">
        <is>
          <t>VEH-DEL-016</t>
        </is>
      </c>
      <c r="E65" s="16" t="inlineStr">
        <is>
          <t>TWO_WHEELER</t>
        </is>
      </c>
      <c r="F65" s="16" t="n">
        <v>16</v>
      </c>
      <c r="G65" s="18" t="n">
        <v>83</v>
      </c>
      <c r="H65" s="18" t="n">
        <v>118.4</v>
      </c>
      <c r="I65" s="18" t="n">
        <v>92.86</v>
      </c>
      <c r="J65" s="18" t="n">
        <v>125.36</v>
      </c>
      <c r="K65" s="18" t="n">
        <v>568.3</v>
      </c>
      <c r="L65" s="18" t="n">
        <v>160.7</v>
      </c>
      <c r="M65" s="16" t="n">
        <v>0</v>
      </c>
      <c r="N65" s="16" t="inlineStr">
        <is>
          <t>Yes</t>
        </is>
      </c>
      <c r="O65" s="32" t="n">
        <v>2404.34</v>
      </c>
    </row>
    <row r="66">
      <c r="B66" s="10" t="inlineStr">
        <is>
          <t>Delhi NCR</t>
        </is>
      </c>
      <c r="C66" s="10" t="inlineStr">
        <is>
          <t>DEP-DEL-MFC</t>
        </is>
      </c>
      <c r="D66" s="10" t="inlineStr">
        <is>
          <t>VEH-DEL-017</t>
        </is>
      </c>
      <c r="E66" s="10" t="inlineStr">
        <is>
          <t>TWO_WHEELER</t>
        </is>
      </c>
      <c r="F66" s="10" t="n">
        <v>15</v>
      </c>
      <c r="G66" s="12" t="n">
        <v>79.7</v>
      </c>
      <c r="H66" s="12" t="n">
        <v>55</v>
      </c>
      <c r="I66" s="12" t="n">
        <v>55.59</v>
      </c>
      <c r="J66" s="12" t="n">
        <v>75.05</v>
      </c>
      <c r="K66" s="12" t="n">
        <v>264.2</v>
      </c>
      <c r="L66" s="12" t="n">
        <v>1.2</v>
      </c>
      <c r="M66" s="10" t="n">
        <v>0</v>
      </c>
      <c r="N66" s="10" t="inlineStr">
        <is>
          <t>No</t>
        </is>
      </c>
      <c r="O66" s="30" t="n">
        <v>1417.13</v>
      </c>
    </row>
    <row r="67">
      <c r="B67" s="16" t="inlineStr">
        <is>
          <t>Delhi NCR</t>
        </is>
      </c>
      <c r="C67" s="16" t="inlineStr">
        <is>
          <t>DEP-DEL-HUB</t>
        </is>
      </c>
      <c r="D67" s="16" t="inlineStr">
        <is>
          <t>VEH-DEL-019</t>
        </is>
      </c>
      <c r="E67" s="16" t="inlineStr">
        <is>
          <t>VAN_2T</t>
        </is>
      </c>
      <c r="F67" s="16" t="n">
        <v>12</v>
      </c>
      <c r="G67" s="18" t="n">
        <v>95.7</v>
      </c>
      <c r="H67" s="18" t="n">
        <v>86.8</v>
      </c>
      <c r="I67" s="18" t="n">
        <v>86.20999999999999</v>
      </c>
      <c r="J67" s="18" t="n">
        <v>116.39</v>
      </c>
      <c r="K67" s="18" t="n">
        <v>521</v>
      </c>
      <c r="L67" s="18" t="n">
        <v>22.5</v>
      </c>
      <c r="M67" s="16" t="n">
        <v>0</v>
      </c>
      <c r="N67" s="16" t="inlineStr">
        <is>
          <t>No</t>
        </is>
      </c>
      <c r="O67" s="32" t="n">
        <v>6892.21</v>
      </c>
    </row>
    <row r="68">
      <c r="B68" s="10" t="inlineStr">
        <is>
          <t>Delhi NCR</t>
        </is>
      </c>
      <c r="C68" s="10" t="inlineStr">
        <is>
          <t>DEP-DEL-HUB</t>
        </is>
      </c>
      <c r="D68" s="10" t="inlineStr">
        <is>
          <t>VEH-DEL-020</t>
        </is>
      </c>
      <c r="E68" s="10" t="inlineStr">
        <is>
          <t>VAN_2T</t>
        </is>
      </c>
      <c r="F68" s="10" t="n">
        <v>18</v>
      </c>
      <c r="G68" s="12" t="n">
        <v>96.3</v>
      </c>
      <c r="H68" s="12" t="n">
        <v>92.09999999999999</v>
      </c>
      <c r="I68" s="12" t="n">
        <v>82.56</v>
      </c>
      <c r="J68" s="12" t="n">
        <v>111.45</v>
      </c>
      <c r="K68" s="12" t="n">
        <v>552.7</v>
      </c>
      <c r="L68" s="12" t="n">
        <v>49</v>
      </c>
      <c r="M68" s="10" t="n">
        <v>0</v>
      </c>
      <c r="N68" s="10" t="inlineStr">
        <is>
          <t>No</t>
        </is>
      </c>
      <c r="O68" s="30" t="n">
        <v>6924.74</v>
      </c>
    </row>
    <row r="69">
      <c r="B69" s="16" t="inlineStr">
        <is>
          <t>Delhi NCR</t>
        </is>
      </c>
      <c r="C69" s="16" t="inlineStr">
        <is>
          <t>DEP-DEL-HUB</t>
        </is>
      </c>
      <c r="D69" s="16" t="inlineStr">
        <is>
          <t>VEH-DEL-021</t>
        </is>
      </c>
      <c r="E69" s="16" t="inlineStr">
        <is>
          <t>TEMPO_1T</t>
        </is>
      </c>
      <c r="F69" s="16" t="n">
        <v>15</v>
      </c>
      <c r="G69" s="18" t="n">
        <v>94.90000000000001</v>
      </c>
      <c r="H69" s="18" t="n">
        <v>72.2</v>
      </c>
      <c r="I69" s="18" t="n">
        <v>51.74</v>
      </c>
      <c r="J69" s="18" t="n">
        <v>69.84</v>
      </c>
      <c r="K69" s="18" t="n">
        <v>433.1</v>
      </c>
      <c r="L69" s="18" t="n">
        <v>118.8</v>
      </c>
      <c r="M69" s="16" t="n">
        <v>0</v>
      </c>
      <c r="N69" s="16" t="inlineStr">
        <is>
          <t>No</t>
        </is>
      </c>
      <c r="O69" s="32" t="n">
        <v>4323.85</v>
      </c>
    </row>
    <row r="70">
      <c r="B70" s="10" t="inlineStr">
        <is>
          <t>Delhi NCR</t>
        </is>
      </c>
      <c r="C70" s="10" t="inlineStr">
        <is>
          <t>DEP-DEL-HUB</t>
        </is>
      </c>
      <c r="D70" s="10" t="inlineStr">
        <is>
          <t>VEH-DEL-022</t>
        </is>
      </c>
      <c r="E70" s="10" t="inlineStr">
        <is>
          <t>TEMPO_1T</t>
        </is>
      </c>
      <c r="F70" s="10" t="n">
        <v>8</v>
      </c>
      <c r="G70" s="12" t="n">
        <v>76.3</v>
      </c>
      <c r="H70" s="12" t="n">
        <v>39.3</v>
      </c>
      <c r="I70" s="12" t="n">
        <v>34.81</v>
      </c>
      <c r="J70" s="12" t="n">
        <v>47</v>
      </c>
      <c r="K70" s="12" t="n">
        <v>235.7</v>
      </c>
      <c r="L70" s="12" t="n">
        <v>0</v>
      </c>
      <c r="M70" s="10" t="n">
        <v>0</v>
      </c>
      <c r="N70" s="10" t="inlineStr">
        <is>
          <t>No</t>
        </is>
      </c>
      <c r="O70" s="30" t="n">
        <v>3336.07</v>
      </c>
    </row>
    <row r="71">
      <c r="B71" s="16" t="inlineStr">
        <is>
          <t>Delhi NCR</t>
        </is>
      </c>
      <c r="C71" s="16" t="inlineStr">
        <is>
          <t>DEP-DEL-HUB</t>
        </is>
      </c>
      <c r="D71" s="16" t="inlineStr">
        <is>
          <t>VEH-DEL-023</t>
        </is>
      </c>
      <c r="E71" s="16" t="inlineStr">
        <is>
          <t>TEMPO_1T</t>
        </is>
      </c>
      <c r="F71" s="16" t="n">
        <v>13</v>
      </c>
      <c r="G71" s="18" t="n">
        <v>66.59999999999999</v>
      </c>
      <c r="H71" s="18" t="n">
        <v>34.5</v>
      </c>
      <c r="I71" s="18" t="n">
        <v>23.45</v>
      </c>
      <c r="J71" s="18" t="n">
        <v>31.65</v>
      </c>
      <c r="K71" s="18" t="n">
        <v>207.2</v>
      </c>
      <c r="L71" s="18" t="n">
        <v>6.4</v>
      </c>
      <c r="M71" s="16" t="n">
        <v>0</v>
      </c>
      <c r="N71" s="16" t="inlineStr">
        <is>
          <t>No</t>
        </is>
      </c>
      <c r="O71" s="32" t="n">
        <v>3036.86</v>
      </c>
    </row>
    <row r="72">
      <c r="B72" s="10" t="inlineStr">
        <is>
          <t>Bengaluru</t>
        </is>
      </c>
      <c r="C72" s="10" t="inlineStr">
        <is>
          <t>DEP-BLR-DC</t>
        </is>
      </c>
      <c r="D72" s="10" t="inlineStr">
        <is>
          <t>VEH-BLR-001</t>
        </is>
      </c>
      <c r="E72" s="10" t="inlineStr">
        <is>
          <t>VAN_2T</t>
        </is>
      </c>
      <c r="F72" s="10" t="n">
        <v>10</v>
      </c>
      <c r="G72" s="12" t="n">
        <v>81.5</v>
      </c>
      <c r="H72" s="12" t="n">
        <v>83.7</v>
      </c>
      <c r="I72" s="12" t="n">
        <v>62.41</v>
      </c>
      <c r="J72" s="12" t="n">
        <v>84.26000000000001</v>
      </c>
      <c r="K72" s="12" t="n">
        <v>502.3</v>
      </c>
      <c r="L72" s="12" t="n">
        <v>74.8</v>
      </c>
      <c r="M72" s="10" t="n">
        <v>0</v>
      </c>
      <c r="N72" s="10" t="inlineStr">
        <is>
          <t>No</t>
        </is>
      </c>
      <c r="O72" s="30" t="n">
        <v>6280.74</v>
      </c>
    </row>
    <row r="73">
      <c r="B73" s="16" t="inlineStr">
        <is>
          <t>Bengaluru</t>
        </is>
      </c>
      <c r="C73" s="16" t="inlineStr">
        <is>
          <t>DEP-BLR-DC</t>
        </is>
      </c>
      <c r="D73" s="16" t="inlineStr">
        <is>
          <t>VEH-BLR-003</t>
        </is>
      </c>
      <c r="E73" s="16" t="inlineStr">
        <is>
          <t>VAN_2T</t>
        </is>
      </c>
      <c r="F73" s="16" t="n">
        <v>8</v>
      </c>
      <c r="G73" s="18" t="n">
        <v>79.2</v>
      </c>
      <c r="H73" s="18" t="n">
        <v>107.8</v>
      </c>
      <c r="I73" s="18" t="n">
        <v>91.84999999999999</v>
      </c>
      <c r="J73" s="18" t="n">
        <v>124</v>
      </c>
      <c r="K73" s="18" t="n">
        <v>646.9</v>
      </c>
      <c r="L73" s="18" t="n">
        <v>144</v>
      </c>
      <c r="M73" s="16" t="n">
        <v>0</v>
      </c>
      <c r="N73" s="16" t="inlineStr">
        <is>
          <t>Yes</t>
        </is>
      </c>
      <c r="O73" s="32" t="n">
        <v>7561.36</v>
      </c>
    </row>
    <row r="74">
      <c r="B74" s="10" t="inlineStr">
        <is>
          <t>Bengaluru</t>
        </is>
      </c>
      <c r="C74" s="10" t="inlineStr">
        <is>
          <t>DEP-BLR-DC</t>
        </is>
      </c>
      <c r="D74" s="10" t="inlineStr">
        <is>
          <t>VEH-BLR-007</t>
        </is>
      </c>
      <c r="E74" s="10" t="inlineStr">
        <is>
          <t>TEMPO_1T</t>
        </is>
      </c>
      <c r="F74" s="10" t="n">
        <v>13</v>
      </c>
      <c r="G74" s="12" t="n">
        <v>97.2</v>
      </c>
      <c r="H74" s="12" t="n">
        <v>71.8</v>
      </c>
      <c r="I74" s="12" t="n">
        <v>65.31999999999999</v>
      </c>
      <c r="J74" s="12" t="n">
        <v>88.18000000000001</v>
      </c>
      <c r="K74" s="12" t="n">
        <v>431</v>
      </c>
      <c r="L74" s="12" t="n">
        <v>0</v>
      </c>
      <c r="M74" s="10" t="n">
        <v>3</v>
      </c>
      <c r="N74" s="10" t="inlineStr">
        <is>
          <t>No</t>
        </is>
      </c>
      <c r="O74" s="30" t="n">
        <v>4585.02</v>
      </c>
    </row>
    <row r="75">
      <c r="B75" s="16" t="inlineStr">
        <is>
          <t>Bengaluru</t>
        </is>
      </c>
      <c r="C75" s="16" t="inlineStr">
        <is>
          <t>DEP-BLR-DC</t>
        </is>
      </c>
      <c r="D75" s="16" t="inlineStr">
        <is>
          <t>VEH-BLR-008</t>
        </is>
      </c>
      <c r="E75" s="16" t="inlineStr">
        <is>
          <t>TEMPO_1T</t>
        </is>
      </c>
      <c r="F75" s="16" t="n">
        <v>9</v>
      </c>
      <c r="G75" s="18" t="n">
        <v>86.8</v>
      </c>
      <c r="H75" s="18" t="n">
        <v>71.09999999999999</v>
      </c>
      <c r="I75" s="18" t="n">
        <v>68.15000000000001</v>
      </c>
      <c r="J75" s="18" t="n">
        <v>92</v>
      </c>
      <c r="K75" s="18" t="n">
        <v>426.4</v>
      </c>
      <c r="L75" s="18" t="n">
        <v>43.6</v>
      </c>
      <c r="M75" s="16" t="n">
        <v>0</v>
      </c>
      <c r="N75" s="16" t="inlineStr">
        <is>
          <t>No</t>
        </is>
      </c>
      <c r="O75" s="32" t="n">
        <v>4618.28</v>
      </c>
    </row>
    <row r="76">
      <c r="B76" s="10" t="inlineStr">
        <is>
          <t>Bengaluru</t>
        </is>
      </c>
      <c r="C76" s="10" t="inlineStr">
        <is>
          <t>DEP-BLR-DC</t>
        </is>
      </c>
      <c r="D76" s="10" t="inlineStr">
        <is>
          <t>VEH-BLR-010</t>
        </is>
      </c>
      <c r="E76" s="10" t="inlineStr">
        <is>
          <t>TEMPO_1T</t>
        </is>
      </c>
      <c r="F76" s="10" t="n">
        <v>9</v>
      </c>
      <c r="G76" s="12" t="n">
        <v>91.90000000000001</v>
      </c>
      <c r="H76" s="12" t="n">
        <v>93.2</v>
      </c>
      <c r="I76" s="12" t="n">
        <v>71.06</v>
      </c>
      <c r="J76" s="12" t="n">
        <v>95.93000000000001</v>
      </c>
      <c r="K76" s="12" t="n">
        <v>559.3</v>
      </c>
      <c r="L76" s="12" t="n">
        <v>133.3</v>
      </c>
      <c r="M76" s="10" t="n">
        <v>0</v>
      </c>
      <c r="N76" s="10" t="inlineStr">
        <is>
          <t>No</t>
        </is>
      </c>
      <c r="O76" s="30" t="n">
        <v>5143.68</v>
      </c>
    </row>
    <row r="77">
      <c r="B77" s="16" t="inlineStr">
        <is>
          <t>Bengaluru</t>
        </is>
      </c>
      <c r="C77" s="16" t="inlineStr">
        <is>
          <t>DEP-BLR-MFC</t>
        </is>
      </c>
      <c r="D77" s="16" t="inlineStr">
        <is>
          <t>VEH-BLR-012</t>
        </is>
      </c>
      <c r="E77" s="16" t="inlineStr">
        <is>
          <t>TEMPO_1T</t>
        </is>
      </c>
      <c r="F77" s="16" t="n">
        <v>14</v>
      </c>
      <c r="G77" s="18" t="n">
        <v>5.8</v>
      </c>
      <c r="H77" s="18" t="n">
        <v>40.4</v>
      </c>
      <c r="I77" s="18" t="n">
        <v>31.28</v>
      </c>
      <c r="J77" s="18" t="n">
        <v>42.23</v>
      </c>
      <c r="K77" s="18" t="n">
        <v>242.4</v>
      </c>
      <c r="L77" s="18" t="n">
        <v>25.2</v>
      </c>
      <c r="M77" s="16" t="n">
        <v>0</v>
      </c>
      <c r="N77" s="16" t="inlineStr">
        <is>
          <t>No</t>
        </is>
      </c>
      <c r="O77" s="32" t="n">
        <v>3314.45</v>
      </c>
    </row>
    <row r="78">
      <c r="B78" s="10" t="inlineStr">
        <is>
          <t>Bengaluru</t>
        </is>
      </c>
      <c r="C78" s="10" t="inlineStr">
        <is>
          <t>DEP-BLR-MFC</t>
        </is>
      </c>
      <c r="D78" s="10" t="inlineStr">
        <is>
          <t>VEH-BLR-013</t>
        </is>
      </c>
      <c r="E78" s="10" t="inlineStr">
        <is>
          <t>TEMPO_1T</t>
        </is>
      </c>
      <c r="F78" s="10" t="n">
        <v>17</v>
      </c>
      <c r="G78" s="12" t="n">
        <v>9.9</v>
      </c>
      <c r="H78" s="12" t="n">
        <v>61.7</v>
      </c>
      <c r="I78" s="12" t="n">
        <v>28.98</v>
      </c>
      <c r="J78" s="12" t="n">
        <v>39.13</v>
      </c>
      <c r="K78" s="12" t="n">
        <v>370.3</v>
      </c>
      <c r="L78" s="12" t="n">
        <v>131.8</v>
      </c>
      <c r="M78" s="10" t="n">
        <v>0</v>
      </c>
      <c r="N78" s="10" t="inlineStr">
        <is>
          <t>No</t>
        </is>
      </c>
      <c r="O78" s="30" t="n">
        <v>3730.5</v>
      </c>
    </row>
    <row r="79">
      <c r="B79" s="16" t="inlineStr">
        <is>
          <t>Bengaluru</t>
        </is>
      </c>
      <c r="C79" s="16" t="inlineStr">
        <is>
          <t>DEP-BLR-MFC</t>
        </is>
      </c>
      <c r="D79" s="16" t="inlineStr">
        <is>
          <t>VEH-BLR-014</t>
        </is>
      </c>
      <c r="E79" s="16" t="inlineStr">
        <is>
          <t>TEMPO_1T</t>
        </is>
      </c>
      <c r="F79" s="16" t="n">
        <v>20</v>
      </c>
      <c r="G79" s="18" t="n">
        <v>5.4</v>
      </c>
      <c r="H79" s="18" t="n">
        <v>42.4</v>
      </c>
      <c r="I79" s="18" t="n">
        <v>29.72</v>
      </c>
      <c r="J79" s="18" t="n">
        <v>40.12</v>
      </c>
      <c r="K79" s="18" t="n">
        <v>254.2</v>
      </c>
      <c r="L79" s="18" t="n">
        <v>33</v>
      </c>
      <c r="M79" s="16" t="n">
        <v>0</v>
      </c>
      <c r="N79" s="16" t="inlineStr">
        <is>
          <t>No</t>
        </is>
      </c>
      <c r="O79" s="32" t="n">
        <v>3328.96</v>
      </c>
    </row>
    <row r="80">
      <c r="B80" s="10" t="inlineStr">
        <is>
          <t>Bengaluru</t>
        </is>
      </c>
      <c r="C80" s="10" t="inlineStr">
        <is>
          <t>DEP-BLR-MFC</t>
        </is>
      </c>
      <c r="D80" s="10" t="inlineStr">
        <is>
          <t>VEH-BLR-015</t>
        </is>
      </c>
      <c r="E80" s="10" t="inlineStr">
        <is>
          <t>TWO_WHEELER</t>
        </is>
      </c>
      <c r="F80" s="10" t="n">
        <v>9</v>
      </c>
      <c r="G80" s="12" t="n">
        <v>74.90000000000001</v>
      </c>
      <c r="H80" s="12" t="n">
        <v>49.2</v>
      </c>
      <c r="I80" s="12" t="n">
        <v>35</v>
      </c>
      <c r="J80" s="12" t="n">
        <v>47.25</v>
      </c>
      <c r="K80" s="12" t="n">
        <v>236.3</v>
      </c>
      <c r="L80" s="12" t="n">
        <v>29.8</v>
      </c>
      <c r="M80" s="10" t="n">
        <v>0</v>
      </c>
      <c r="N80" s="10" t="inlineStr">
        <is>
          <t>No</t>
        </is>
      </c>
      <c r="O80" s="30" t="n">
        <v>1258.24</v>
      </c>
    </row>
    <row r="81">
      <c r="B81" s="16" t="inlineStr">
        <is>
          <t>Bengaluru</t>
        </is>
      </c>
      <c r="C81" s="16" t="inlineStr">
        <is>
          <t>DEP-BLR-MFC</t>
        </is>
      </c>
      <c r="D81" s="16" t="inlineStr">
        <is>
          <t>VEH-BLR-016</t>
        </is>
      </c>
      <c r="E81" s="16" t="inlineStr">
        <is>
          <t>TWO_WHEELER</t>
        </is>
      </c>
      <c r="F81" s="16" t="n">
        <v>14</v>
      </c>
      <c r="G81" s="18" t="n">
        <v>85.3</v>
      </c>
      <c r="H81" s="18" t="n">
        <v>99.5</v>
      </c>
      <c r="I81" s="18" t="n">
        <v>69.48999999999999</v>
      </c>
      <c r="J81" s="18" t="n">
        <v>93.81</v>
      </c>
      <c r="K81" s="18" t="n">
        <v>477.7</v>
      </c>
      <c r="L81" s="18" t="n">
        <v>144.1</v>
      </c>
      <c r="M81" s="16" t="n">
        <v>0</v>
      </c>
      <c r="N81" s="16" t="inlineStr">
        <is>
          <t>No</t>
        </is>
      </c>
      <c r="O81" s="32" t="n">
        <v>2077.73</v>
      </c>
    </row>
    <row r="82">
      <c r="B82" s="10" t="inlineStr">
        <is>
          <t>Bengaluru</t>
        </is>
      </c>
      <c r="C82" s="10" t="inlineStr">
        <is>
          <t>DEP-BLR-MFC</t>
        </is>
      </c>
      <c r="D82" s="10" t="inlineStr">
        <is>
          <t>VEH-BLR-017</t>
        </is>
      </c>
      <c r="E82" s="10" t="inlineStr">
        <is>
          <t>TWO_WHEELER</t>
        </is>
      </c>
      <c r="F82" s="10" t="n">
        <v>14</v>
      </c>
      <c r="G82" s="12" t="n">
        <v>81.7</v>
      </c>
      <c r="H82" s="12" t="n">
        <v>84</v>
      </c>
      <c r="I82" s="12" t="n">
        <v>33.51</v>
      </c>
      <c r="J82" s="12" t="n">
        <v>45.24</v>
      </c>
      <c r="K82" s="12" t="n">
        <v>403.4</v>
      </c>
      <c r="L82" s="12" t="n">
        <v>164.3</v>
      </c>
      <c r="M82" s="10" t="n">
        <v>0</v>
      </c>
      <c r="N82" s="10" t="inlineStr">
        <is>
          <t>No</t>
        </is>
      </c>
      <c r="O82" s="30" t="n">
        <v>1705.55</v>
      </c>
    </row>
    <row r="83">
      <c r="B83" s="16" t="inlineStr">
        <is>
          <t>Bengaluru</t>
        </is>
      </c>
      <c r="C83" s="16" t="inlineStr">
        <is>
          <t>DEP-BLR-HUB</t>
        </is>
      </c>
      <c r="D83" s="16" t="inlineStr">
        <is>
          <t>VEH-BLR-018</t>
        </is>
      </c>
      <c r="E83" s="16" t="inlineStr">
        <is>
          <t>VAN_2T</t>
        </is>
      </c>
      <c r="F83" s="16" t="n">
        <v>14</v>
      </c>
      <c r="G83" s="18" t="n">
        <v>80.2</v>
      </c>
      <c r="H83" s="18" t="n">
        <v>78.40000000000001</v>
      </c>
      <c r="I83" s="18" t="n">
        <v>61.32</v>
      </c>
      <c r="J83" s="18" t="n">
        <v>82.78</v>
      </c>
      <c r="K83" s="18" t="n">
        <v>470.2</v>
      </c>
      <c r="L83" s="18" t="n">
        <v>1.8</v>
      </c>
      <c r="M83" s="16" t="n">
        <v>1</v>
      </c>
      <c r="N83" s="16" t="inlineStr">
        <is>
          <t>No</t>
        </is>
      </c>
      <c r="O83" s="32" t="n">
        <v>6128.76</v>
      </c>
    </row>
    <row r="84">
      <c r="B84" s="10" t="inlineStr">
        <is>
          <t>Bengaluru</t>
        </is>
      </c>
      <c r="C84" s="10" t="inlineStr">
        <is>
          <t>DEP-BLR-HUB</t>
        </is>
      </c>
      <c r="D84" s="10" t="inlineStr">
        <is>
          <t>VEH-BLR-019</t>
        </is>
      </c>
      <c r="E84" s="10" t="inlineStr">
        <is>
          <t>VAN_2T</t>
        </is>
      </c>
      <c r="F84" s="10" t="n">
        <v>11</v>
      </c>
      <c r="G84" s="12" t="n">
        <v>98.8</v>
      </c>
      <c r="H84" s="12" t="n">
        <v>87.40000000000001</v>
      </c>
      <c r="I84" s="12" t="n">
        <v>35.58</v>
      </c>
      <c r="J84" s="12" t="n">
        <v>48.04</v>
      </c>
      <c r="K84" s="12" t="n">
        <v>524.6</v>
      </c>
      <c r="L84" s="12" t="n">
        <v>214.6</v>
      </c>
      <c r="M84" s="10" t="n">
        <v>0</v>
      </c>
      <c r="N84" s="10" t="inlineStr">
        <is>
          <t>No</t>
        </is>
      </c>
      <c r="O84" s="30" t="n">
        <v>5715.78</v>
      </c>
    </row>
    <row r="85">
      <c r="B85" s="16" t="inlineStr">
        <is>
          <t>Bengaluru</t>
        </is>
      </c>
      <c r="C85" s="16" t="inlineStr">
        <is>
          <t>DEP-BLR-HUB</t>
        </is>
      </c>
      <c r="D85" s="16" t="inlineStr">
        <is>
          <t>VEH-BLR-021</t>
        </is>
      </c>
      <c r="E85" s="16" t="inlineStr">
        <is>
          <t>TEMPO_1T</t>
        </is>
      </c>
      <c r="F85" s="16" t="n">
        <v>22</v>
      </c>
      <c r="G85" s="18" t="n">
        <v>97.5</v>
      </c>
      <c r="H85" s="18" t="n">
        <v>75</v>
      </c>
      <c r="I85" s="18" t="n">
        <v>61.23</v>
      </c>
      <c r="J85" s="18" t="n">
        <v>82.66</v>
      </c>
      <c r="K85" s="18" t="n">
        <v>449.7</v>
      </c>
      <c r="L85" s="18" t="n">
        <v>36.1</v>
      </c>
      <c r="M85" s="16" t="n">
        <v>0</v>
      </c>
      <c r="N85" s="16" t="inlineStr">
        <is>
          <t>No</t>
        </is>
      </c>
      <c r="O85" s="32" t="n">
        <v>4580</v>
      </c>
    </row>
    <row r="86">
      <c r="B86" s="10" t="inlineStr">
        <is>
          <t>Bengaluru</t>
        </is>
      </c>
      <c r="C86" s="10" t="inlineStr">
        <is>
          <t>DEP-BLR-HUB</t>
        </is>
      </c>
      <c r="D86" s="10" t="inlineStr">
        <is>
          <t>VEH-BLR-023</t>
        </is>
      </c>
      <c r="E86" s="10" t="inlineStr">
        <is>
          <t>TEMPO_1T</t>
        </is>
      </c>
      <c r="F86" s="10" t="n">
        <v>13</v>
      </c>
      <c r="G86" s="12" t="n">
        <v>92.3</v>
      </c>
      <c r="H86" s="12" t="n">
        <v>70.3</v>
      </c>
      <c r="I86" s="12" t="n">
        <v>38.92</v>
      </c>
      <c r="J86" s="12" t="n">
        <v>52.54</v>
      </c>
      <c r="K86" s="12" t="n">
        <v>421.6</v>
      </c>
      <c r="L86" s="12" t="n">
        <v>107.6</v>
      </c>
      <c r="M86" s="10" t="n">
        <v>0</v>
      </c>
      <c r="N86" s="10" t="inlineStr">
        <is>
          <t>No</t>
        </is>
      </c>
      <c r="O86" s="30" t="n">
        <v>4088.18</v>
      </c>
    </row>
    <row r="87">
      <c r="B87" s="16" t="inlineStr">
        <is>
          <t>Bengaluru</t>
        </is>
      </c>
      <c r="C87" s="16" t="inlineStr">
        <is>
          <t>DEP-BLR-HUB</t>
        </is>
      </c>
      <c r="D87" s="16" t="inlineStr">
        <is>
          <t>VEH-BLR-024</t>
        </is>
      </c>
      <c r="E87" s="16" t="inlineStr">
        <is>
          <t>TWO_WHEELER</t>
        </is>
      </c>
      <c r="F87" s="16" t="n">
        <v>9</v>
      </c>
      <c r="G87" s="18" t="n">
        <v>81.90000000000001</v>
      </c>
      <c r="H87" s="18" t="n">
        <v>54.8</v>
      </c>
      <c r="I87" s="18" t="n">
        <v>22.53</v>
      </c>
      <c r="J87" s="18" t="n">
        <v>30.41</v>
      </c>
      <c r="K87" s="18" t="n">
        <v>263</v>
      </c>
      <c r="L87" s="18" t="n">
        <v>118.5</v>
      </c>
      <c r="M87" s="16" t="n">
        <v>0</v>
      </c>
      <c r="N87" s="16" t="inlineStr">
        <is>
          <t>No</t>
        </is>
      </c>
      <c r="O87" s="32" t="n">
        <v>1271.71</v>
      </c>
    </row>
    <row r="88">
      <c r="B88" s="10" t="inlineStr">
        <is>
          <t>Bengaluru</t>
        </is>
      </c>
      <c r="C88" s="10" t="inlineStr">
        <is>
          <t>DEP-BLR-HUB</t>
        </is>
      </c>
      <c r="D88" s="10" t="inlineStr">
        <is>
          <t>VEH-BLR-025</t>
        </is>
      </c>
      <c r="E88" s="10" t="inlineStr">
        <is>
          <t>TWO_WHEELER</t>
        </is>
      </c>
      <c r="F88" s="10" t="n">
        <v>8</v>
      </c>
      <c r="G88" s="12" t="n">
        <v>88.40000000000001</v>
      </c>
      <c r="H88" s="12" t="n">
        <v>83.2</v>
      </c>
      <c r="I88" s="12" t="n">
        <v>31.89</v>
      </c>
      <c r="J88" s="12" t="n">
        <v>43.05</v>
      </c>
      <c r="K88" s="12" t="n">
        <v>399.4</v>
      </c>
      <c r="L88" s="12" t="n">
        <v>165.9</v>
      </c>
      <c r="M88" s="10" t="n">
        <v>0</v>
      </c>
      <c r="N88" s="10" t="inlineStr">
        <is>
          <t>No</t>
        </is>
      </c>
      <c r="O88" s="30" t="n">
        <v>1686.9</v>
      </c>
    </row>
    <row r="89">
      <c r="B89" s="16" t="inlineStr">
        <is>
          <t>Chennai</t>
        </is>
      </c>
      <c r="C89" s="16" t="inlineStr">
        <is>
          <t>DEP-CHE-DC</t>
        </is>
      </c>
      <c r="D89" s="16" t="inlineStr">
        <is>
          <t>VEH-CHE-002</t>
        </is>
      </c>
      <c r="E89" s="16" t="inlineStr">
        <is>
          <t>VAN_2T</t>
        </is>
      </c>
      <c r="F89" s="16" t="n">
        <v>10</v>
      </c>
      <c r="G89" s="18" t="n">
        <v>96.40000000000001</v>
      </c>
      <c r="H89" s="18" t="n">
        <v>89.90000000000001</v>
      </c>
      <c r="I89" s="18" t="n">
        <v>82.95999999999999</v>
      </c>
      <c r="J89" s="18" t="n">
        <v>111.99</v>
      </c>
      <c r="K89" s="18" t="n">
        <v>539.5</v>
      </c>
      <c r="L89" s="18" t="n">
        <v>112.1</v>
      </c>
      <c r="M89" s="16" t="n">
        <v>0</v>
      </c>
      <c r="N89" s="16" t="inlineStr">
        <is>
          <t>No</t>
        </is>
      </c>
      <c r="O89" s="32" t="n">
        <v>6718.6</v>
      </c>
    </row>
    <row r="90">
      <c r="B90" s="10" t="inlineStr">
        <is>
          <t>Chennai</t>
        </is>
      </c>
      <c r="C90" s="10" t="inlineStr">
        <is>
          <t>DEP-CHE-DC</t>
        </is>
      </c>
      <c r="D90" s="10" t="inlineStr">
        <is>
          <t>VEH-CHE-003</t>
        </is>
      </c>
      <c r="E90" s="10" t="inlineStr">
        <is>
          <t>VAN_2T</t>
        </is>
      </c>
      <c r="F90" s="10" t="n">
        <v>9</v>
      </c>
      <c r="G90" s="12" t="n">
        <v>70.7</v>
      </c>
      <c r="H90" s="12" t="n">
        <v>73.8</v>
      </c>
      <c r="I90" s="12" t="n">
        <v>80.59</v>
      </c>
      <c r="J90" s="12" t="n">
        <v>108.8</v>
      </c>
      <c r="K90" s="12" t="n">
        <v>443</v>
      </c>
      <c r="L90" s="12" t="n">
        <v>0</v>
      </c>
      <c r="M90" s="10" t="n">
        <v>0</v>
      </c>
      <c r="N90" s="10" t="inlineStr">
        <is>
          <t>No</t>
        </is>
      </c>
      <c r="O90" s="30" t="n">
        <v>6320.78</v>
      </c>
    </row>
    <row r="91">
      <c r="B91" s="16" t="inlineStr">
        <is>
          <t>Chennai</t>
        </is>
      </c>
      <c r="C91" s="16" t="inlineStr">
        <is>
          <t>DEP-CHE-DC</t>
        </is>
      </c>
      <c r="D91" s="16" t="inlineStr">
        <is>
          <t>VEH-CHE-007</t>
        </is>
      </c>
      <c r="E91" s="16" t="inlineStr">
        <is>
          <t>TEMPO_1T</t>
        </is>
      </c>
      <c r="F91" s="16" t="n">
        <v>10</v>
      </c>
      <c r="G91" s="18" t="n">
        <v>97.59999999999999</v>
      </c>
      <c r="H91" s="18" t="n">
        <v>106.1</v>
      </c>
      <c r="I91" s="18" t="n">
        <v>87.47</v>
      </c>
      <c r="J91" s="18" t="n">
        <v>118.09</v>
      </c>
      <c r="K91" s="18" t="n">
        <v>636.4</v>
      </c>
      <c r="L91" s="18" t="n">
        <v>114.8</v>
      </c>
      <c r="M91" s="16" t="n">
        <v>0</v>
      </c>
      <c r="N91" s="16" t="inlineStr">
        <is>
          <t>Yes</t>
        </is>
      </c>
      <c r="O91" s="32" t="n">
        <v>5484.35</v>
      </c>
    </row>
    <row r="92">
      <c r="B92" s="10" t="inlineStr">
        <is>
          <t>Chennai</t>
        </is>
      </c>
      <c r="C92" s="10" t="inlineStr">
        <is>
          <t>DEP-CHE-DC</t>
        </is>
      </c>
      <c r="D92" s="10" t="inlineStr">
        <is>
          <t>VEH-CHE-008</t>
        </is>
      </c>
      <c r="E92" s="10" t="inlineStr">
        <is>
          <t>TEMPO_1T</t>
        </is>
      </c>
      <c r="F92" s="10" t="n">
        <v>8</v>
      </c>
      <c r="G92" s="12" t="n">
        <v>90.7</v>
      </c>
      <c r="H92" s="12" t="n">
        <v>60</v>
      </c>
      <c r="I92" s="12" t="n">
        <v>81.38</v>
      </c>
      <c r="J92" s="12" t="n">
        <v>109.86</v>
      </c>
      <c r="K92" s="12" t="n">
        <v>360</v>
      </c>
      <c r="L92" s="12" t="n">
        <v>1.4</v>
      </c>
      <c r="M92" s="10" t="n">
        <v>0</v>
      </c>
      <c r="N92" s="10" t="inlineStr">
        <is>
          <t>No</t>
        </is>
      </c>
      <c r="O92" s="30" t="n">
        <v>4487.52</v>
      </c>
    </row>
    <row r="93">
      <c r="B93" s="16" t="inlineStr">
        <is>
          <t>Chennai</t>
        </is>
      </c>
      <c r="C93" s="16" t="inlineStr">
        <is>
          <t>DEP-CHE-DC</t>
        </is>
      </c>
      <c r="D93" s="16" t="inlineStr">
        <is>
          <t>VEH-CHE-009</t>
        </is>
      </c>
      <c r="E93" s="16" t="inlineStr">
        <is>
          <t>TEMPO_1T</t>
        </is>
      </c>
      <c r="F93" s="16" t="n">
        <v>7</v>
      </c>
      <c r="G93" s="18" t="n">
        <v>94.90000000000001</v>
      </c>
      <c r="H93" s="18" t="n">
        <v>51.2</v>
      </c>
      <c r="I93" s="18" t="n">
        <v>71.62</v>
      </c>
      <c r="J93" s="18" t="n">
        <v>96.69</v>
      </c>
      <c r="K93" s="18" t="n">
        <v>307.4</v>
      </c>
      <c r="L93" s="18" t="n">
        <v>0</v>
      </c>
      <c r="M93" s="16" t="n">
        <v>0</v>
      </c>
      <c r="N93" s="16" t="inlineStr">
        <is>
          <t>No</t>
        </is>
      </c>
      <c r="O93" s="32" t="n">
        <v>4146.7</v>
      </c>
    </row>
    <row r="94">
      <c r="B94" s="10" t="inlineStr">
        <is>
          <t>Chennai</t>
        </is>
      </c>
      <c r="C94" s="10" t="inlineStr">
        <is>
          <t>DEP-CHE-DC</t>
        </is>
      </c>
      <c r="D94" s="10" t="inlineStr">
        <is>
          <t>VEH-CHE-010</t>
        </is>
      </c>
      <c r="E94" s="10" t="inlineStr">
        <is>
          <t>TEMPO_1T</t>
        </is>
      </c>
      <c r="F94" s="10" t="n">
        <v>9</v>
      </c>
      <c r="G94" s="12" t="n">
        <v>97.2</v>
      </c>
      <c r="H94" s="12" t="n">
        <v>62.4</v>
      </c>
      <c r="I94" s="12" t="n">
        <v>73.33</v>
      </c>
      <c r="J94" s="12" t="n">
        <v>98.98999999999999</v>
      </c>
      <c r="K94" s="12" t="n">
        <v>374.6</v>
      </c>
      <c r="L94" s="12" t="n">
        <v>16</v>
      </c>
      <c r="M94" s="10" t="n">
        <v>0</v>
      </c>
      <c r="N94" s="10" t="inlineStr">
        <is>
          <t>No</t>
        </is>
      </c>
      <c r="O94" s="30" t="n">
        <v>4392.95</v>
      </c>
    </row>
    <row r="95">
      <c r="B95" s="16" t="inlineStr">
        <is>
          <t>Chennai</t>
        </is>
      </c>
      <c r="C95" s="16" t="inlineStr">
        <is>
          <t>DEP-CHE-MFC</t>
        </is>
      </c>
      <c r="D95" s="16" t="inlineStr">
        <is>
          <t>VEH-CHE-012</t>
        </is>
      </c>
      <c r="E95" s="16" t="inlineStr">
        <is>
          <t>TEMPO_1T</t>
        </is>
      </c>
      <c r="F95" s="16" t="n">
        <v>11</v>
      </c>
      <c r="G95" s="18" t="n">
        <v>6</v>
      </c>
      <c r="H95" s="18" t="n">
        <v>35.4</v>
      </c>
      <c r="I95" s="18" t="n">
        <v>24.58</v>
      </c>
      <c r="J95" s="18" t="n">
        <v>33.18</v>
      </c>
      <c r="K95" s="18" t="n">
        <v>212.3</v>
      </c>
      <c r="L95" s="18" t="n">
        <v>61.6</v>
      </c>
      <c r="M95" s="16" t="n">
        <v>0</v>
      </c>
      <c r="N95" s="16" t="inlineStr">
        <is>
          <t>No</t>
        </is>
      </c>
      <c r="O95" s="32" t="n">
        <v>3014.97</v>
      </c>
    </row>
    <row r="96">
      <c r="B96" s="10" t="inlineStr">
        <is>
          <t>Chennai</t>
        </is>
      </c>
      <c r="C96" s="10" t="inlineStr">
        <is>
          <t>DEP-CHE-MFC</t>
        </is>
      </c>
      <c r="D96" s="10" t="inlineStr">
        <is>
          <t>VEH-CHE-014</t>
        </is>
      </c>
      <c r="E96" s="10" t="inlineStr">
        <is>
          <t>TEMPO_1T</t>
        </is>
      </c>
      <c r="F96" s="10" t="n">
        <v>38</v>
      </c>
      <c r="G96" s="12" t="n">
        <v>15.5</v>
      </c>
      <c r="H96" s="12" t="n">
        <v>108.3</v>
      </c>
      <c r="I96" s="12" t="n">
        <v>66.76000000000001</v>
      </c>
      <c r="J96" s="12" t="n">
        <v>90.13</v>
      </c>
      <c r="K96" s="12" t="n">
        <v>650</v>
      </c>
      <c r="L96" s="12" t="n">
        <v>264.9</v>
      </c>
      <c r="M96" s="10" t="n">
        <v>0</v>
      </c>
      <c r="N96" s="10" t="inlineStr">
        <is>
          <t>Yes</t>
        </is>
      </c>
      <c r="O96" s="30" t="n">
        <v>5164.61</v>
      </c>
    </row>
    <row r="97">
      <c r="B97" s="16" t="inlineStr">
        <is>
          <t>Chennai</t>
        </is>
      </c>
      <c r="C97" s="16" t="inlineStr">
        <is>
          <t>DEP-CHE-MFC</t>
        </is>
      </c>
      <c r="D97" s="16" t="inlineStr">
        <is>
          <t>VEH-CHE-015</t>
        </is>
      </c>
      <c r="E97" s="16" t="inlineStr">
        <is>
          <t>TWO_WHEELER</t>
        </is>
      </c>
      <c r="F97" s="16" t="n">
        <v>17</v>
      </c>
      <c r="G97" s="18" t="n">
        <v>76.40000000000001</v>
      </c>
      <c r="H97" s="18" t="n">
        <v>70.8</v>
      </c>
      <c r="I97" s="18" t="n">
        <v>64.68000000000001</v>
      </c>
      <c r="J97" s="18" t="n">
        <v>87.31</v>
      </c>
      <c r="K97" s="18" t="n">
        <v>339.8</v>
      </c>
      <c r="L97" s="18" t="n">
        <v>76.40000000000001</v>
      </c>
      <c r="M97" s="16" t="n">
        <v>0</v>
      </c>
      <c r="N97" s="16" t="inlineStr">
        <is>
          <t>No</t>
        </is>
      </c>
      <c r="O97" s="32" t="n">
        <v>1589.25</v>
      </c>
    </row>
    <row r="98">
      <c r="B98" s="10" t="inlineStr">
        <is>
          <t>Chennai</t>
        </is>
      </c>
      <c r="C98" s="10" t="inlineStr">
        <is>
          <t>DEP-CHE-MFC</t>
        </is>
      </c>
      <c r="D98" s="10" t="inlineStr">
        <is>
          <t>VEH-CHE-016</t>
        </is>
      </c>
      <c r="E98" s="10" t="inlineStr">
        <is>
          <t>TWO_WHEELER</t>
        </is>
      </c>
      <c r="F98" s="10" t="n">
        <v>11</v>
      </c>
      <c r="G98" s="12" t="n">
        <v>71.7</v>
      </c>
      <c r="H98" s="12" t="n">
        <v>82.09999999999999</v>
      </c>
      <c r="I98" s="12" t="n">
        <v>58.89</v>
      </c>
      <c r="J98" s="12" t="n">
        <v>79.51000000000001</v>
      </c>
      <c r="K98" s="12" t="n">
        <v>394.2</v>
      </c>
      <c r="L98" s="12" t="n">
        <v>113.4</v>
      </c>
      <c r="M98" s="10" t="n">
        <v>0</v>
      </c>
      <c r="N98" s="10" t="inlineStr">
        <is>
          <t>No</t>
        </is>
      </c>
      <c r="O98" s="30" t="n">
        <v>1695.44</v>
      </c>
    </row>
    <row r="99">
      <c r="B99" s="16" t="inlineStr">
        <is>
          <t>Chennai</t>
        </is>
      </c>
      <c r="C99" s="16" t="inlineStr">
        <is>
          <t>DEP-CHE-MFC</t>
        </is>
      </c>
      <c r="D99" s="16" t="inlineStr">
        <is>
          <t>VEH-CHE-017</t>
        </is>
      </c>
      <c r="E99" s="16" t="inlineStr">
        <is>
          <t>TWO_WHEELER</t>
        </is>
      </c>
      <c r="F99" s="16" t="n">
        <v>16</v>
      </c>
      <c r="G99" s="18" t="n">
        <v>86.2</v>
      </c>
      <c r="H99" s="18" t="n">
        <v>57.5</v>
      </c>
      <c r="I99" s="18" t="n">
        <v>54.49</v>
      </c>
      <c r="J99" s="18" t="n">
        <v>73.56</v>
      </c>
      <c r="K99" s="18" t="n">
        <v>275.9</v>
      </c>
      <c r="L99" s="18" t="n">
        <v>29.6</v>
      </c>
      <c r="M99" s="16" t="n">
        <v>0</v>
      </c>
      <c r="N99" s="16" t="inlineStr">
        <is>
          <t>No</t>
        </is>
      </c>
      <c r="O99" s="32" t="n">
        <v>1384.44</v>
      </c>
    </row>
    <row r="100">
      <c r="B100" s="10" t="inlineStr">
        <is>
          <t>Chennai</t>
        </is>
      </c>
      <c r="C100" s="10" t="inlineStr">
        <is>
          <t>DEP-CHE-HUB</t>
        </is>
      </c>
      <c r="D100" s="10" t="inlineStr">
        <is>
          <t>VEH-CHE-019</t>
        </is>
      </c>
      <c r="E100" s="10" t="inlineStr">
        <is>
          <t>VAN_2T</t>
        </is>
      </c>
      <c r="F100" s="10" t="n">
        <v>18</v>
      </c>
      <c r="G100" s="12" t="n">
        <v>98.5</v>
      </c>
      <c r="H100" s="12" t="n">
        <v>95.59999999999999</v>
      </c>
      <c r="I100" s="12" t="n">
        <v>92.44</v>
      </c>
      <c r="J100" s="12" t="n">
        <v>124.8</v>
      </c>
      <c r="K100" s="12" t="n">
        <v>573.8</v>
      </c>
      <c r="L100" s="12" t="n">
        <v>0</v>
      </c>
      <c r="M100" s="10" t="n">
        <v>1</v>
      </c>
      <c r="N100" s="10" t="inlineStr">
        <is>
          <t>No</t>
        </is>
      </c>
      <c r="O100" s="30" t="n">
        <v>7070</v>
      </c>
    </row>
    <row r="101">
      <c r="B101" s="16" t="inlineStr">
        <is>
          <t>Chennai</t>
        </is>
      </c>
      <c r="C101" s="16" t="inlineStr">
        <is>
          <t>DEP-CHE-HUB</t>
        </is>
      </c>
      <c r="D101" s="16" t="inlineStr">
        <is>
          <t>VEH-CHE-021</t>
        </is>
      </c>
      <c r="E101" s="16" t="inlineStr">
        <is>
          <t>TEMPO_1T</t>
        </is>
      </c>
      <c r="F101" s="16" t="n">
        <v>18</v>
      </c>
      <c r="G101" s="18" t="n">
        <v>97.09999999999999</v>
      </c>
      <c r="H101" s="18" t="n">
        <v>64.7</v>
      </c>
      <c r="I101" s="18" t="n">
        <v>48.79</v>
      </c>
      <c r="J101" s="18" t="n">
        <v>65.87</v>
      </c>
      <c r="K101" s="18" t="n">
        <v>388</v>
      </c>
      <c r="L101" s="18" t="n">
        <v>67.7</v>
      </c>
      <c r="M101" s="16" t="n">
        <v>0</v>
      </c>
      <c r="N101" s="16" t="inlineStr">
        <is>
          <t>No</t>
        </is>
      </c>
      <c r="O101" s="32" t="n">
        <v>4005.6</v>
      </c>
    </row>
    <row r="102">
      <c r="B102" s="10" t="inlineStr">
        <is>
          <t>Chennai</t>
        </is>
      </c>
      <c r="C102" s="10" t="inlineStr">
        <is>
          <t>DEP-CHE-HUB</t>
        </is>
      </c>
      <c r="D102" s="10" t="inlineStr">
        <is>
          <t>VEH-CHE-022</t>
        </is>
      </c>
      <c r="E102" s="10" t="inlineStr">
        <is>
          <t>TEMPO_1T</t>
        </is>
      </c>
      <c r="F102" s="10" t="n">
        <v>8</v>
      </c>
      <c r="G102" s="12" t="n">
        <v>97.5</v>
      </c>
      <c r="H102" s="12" t="n">
        <v>62.4</v>
      </c>
      <c r="I102" s="12" t="n">
        <v>45.74</v>
      </c>
      <c r="J102" s="12" t="n">
        <v>61.75</v>
      </c>
      <c r="K102" s="12" t="n">
        <v>374.6</v>
      </c>
      <c r="L102" s="12" t="n">
        <v>107.1</v>
      </c>
      <c r="M102" s="10" t="n">
        <v>0</v>
      </c>
      <c r="N102" s="10" t="inlineStr">
        <is>
          <t>No</t>
        </is>
      </c>
      <c r="O102" s="30" t="n">
        <v>3908.87</v>
      </c>
    </row>
    <row r="103">
      <c r="B103" s="16" t="inlineStr">
        <is>
          <t>Chennai</t>
        </is>
      </c>
      <c r="C103" s="16" t="inlineStr">
        <is>
          <t>DEP-CHE-HUB</t>
        </is>
      </c>
      <c r="D103" s="16" t="inlineStr">
        <is>
          <t>VEH-CHE-024</t>
        </is>
      </c>
      <c r="E103" s="16" t="inlineStr">
        <is>
          <t>TWO_WHEELER</t>
        </is>
      </c>
      <c r="F103" s="16" t="n">
        <v>11</v>
      </c>
      <c r="G103" s="18" t="n">
        <v>84.5</v>
      </c>
      <c r="H103" s="18" t="n">
        <v>46.6</v>
      </c>
      <c r="I103" s="18" t="n">
        <v>33.84</v>
      </c>
      <c r="J103" s="18" t="n">
        <v>45.69</v>
      </c>
      <c r="K103" s="18" t="n">
        <v>223.7</v>
      </c>
      <c r="L103" s="18" t="n">
        <v>0</v>
      </c>
      <c r="M103" s="16" t="n">
        <v>0</v>
      </c>
      <c r="N103" s="16" t="inlineStr">
        <is>
          <t>No</t>
        </is>
      </c>
      <c r="O103" s="32" t="n">
        <v>1158.76</v>
      </c>
    </row>
    <row r="104">
      <c r="B104" s="10" t="inlineStr">
        <is>
          <t>Kolkata</t>
        </is>
      </c>
      <c r="C104" s="10" t="inlineStr">
        <is>
          <t>DEP-KOL-DC</t>
        </is>
      </c>
      <c r="D104" s="10" t="inlineStr">
        <is>
          <t>VEH-KOL-002</t>
        </is>
      </c>
      <c r="E104" s="10" t="inlineStr">
        <is>
          <t>VAN_2T</t>
        </is>
      </c>
      <c r="F104" s="10" t="n">
        <v>10</v>
      </c>
      <c r="G104" s="12" t="n">
        <v>92.5</v>
      </c>
      <c r="H104" s="12" t="n">
        <v>72.90000000000001</v>
      </c>
      <c r="I104" s="12" t="n">
        <v>52.58</v>
      </c>
      <c r="J104" s="12" t="n">
        <v>70.98</v>
      </c>
      <c r="K104" s="12" t="n">
        <v>437.2</v>
      </c>
      <c r="L104" s="12" t="n">
        <v>40.1</v>
      </c>
      <c r="M104" s="10" t="n">
        <v>1</v>
      </c>
      <c r="N104" s="10" t="inlineStr">
        <is>
          <t>No</t>
        </is>
      </c>
      <c r="O104" s="30" t="n">
        <v>5502.19</v>
      </c>
    </row>
    <row r="105">
      <c r="B105" s="16" t="inlineStr">
        <is>
          <t>Kolkata</t>
        </is>
      </c>
      <c r="C105" s="16" t="inlineStr">
        <is>
          <t>DEP-KOL-DC</t>
        </is>
      </c>
      <c r="D105" s="16" t="inlineStr">
        <is>
          <t>VEH-KOL-007</t>
        </is>
      </c>
      <c r="E105" s="16" t="inlineStr">
        <is>
          <t>TEMPO_1T</t>
        </is>
      </c>
      <c r="F105" s="16" t="n">
        <v>7</v>
      </c>
      <c r="G105" s="18" t="n">
        <v>79.2</v>
      </c>
      <c r="H105" s="18" t="n">
        <v>47.2</v>
      </c>
      <c r="I105" s="18" t="n">
        <v>42.28</v>
      </c>
      <c r="J105" s="18" t="n">
        <v>57.08</v>
      </c>
      <c r="K105" s="18" t="n">
        <v>283.2</v>
      </c>
      <c r="L105" s="18" t="n">
        <v>0</v>
      </c>
      <c r="M105" s="16" t="n">
        <v>0</v>
      </c>
      <c r="N105" s="16" t="inlineStr">
        <is>
          <t>No</t>
        </is>
      </c>
      <c r="O105" s="32" t="n">
        <v>3484.59</v>
      </c>
    </row>
    <row r="106">
      <c r="B106" s="10" t="inlineStr">
        <is>
          <t>Kolkata</t>
        </is>
      </c>
      <c r="C106" s="10" t="inlineStr">
        <is>
          <t>DEP-KOL-DC</t>
        </is>
      </c>
      <c r="D106" s="10" t="inlineStr">
        <is>
          <t>VEH-KOL-008</t>
        </is>
      </c>
      <c r="E106" s="10" t="inlineStr">
        <is>
          <t>TEMPO_1T</t>
        </is>
      </c>
      <c r="F106" s="10" t="n">
        <v>5</v>
      </c>
      <c r="G106" s="12" t="n">
        <v>98.59999999999999</v>
      </c>
      <c r="H106" s="12" t="n">
        <v>54.2</v>
      </c>
      <c r="I106" s="12" t="n">
        <v>43.37</v>
      </c>
      <c r="J106" s="12" t="n">
        <v>58.55</v>
      </c>
      <c r="K106" s="12" t="n">
        <v>325.1</v>
      </c>
      <c r="L106" s="12" t="n">
        <v>70.2</v>
      </c>
      <c r="M106" s="10" t="n">
        <v>0</v>
      </c>
      <c r="N106" s="10" t="inlineStr">
        <is>
          <t>No</t>
        </is>
      </c>
      <c r="O106" s="30" t="n">
        <v>3628.17</v>
      </c>
    </row>
    <row r="107">
      <c r="B107" s="16" t="inlineStr">
        <is>
          <t>Kolkata</t>
        </is>
      </c>
      <c r="C107" s="16" t="inlineStr">
        <is>
          <t>DEP-KOL-DC</t>
        </is>
      </c>
      <c r="D107" s="16" t="inlineStr">
        <is>
          <t>VEH-KOL-010</t>
        </is>
      </c>
      <c r="E107" s="16" t="inlineStr">
        <is>
          <t>TEMPO_1T</t>
        </is>
      </c>
      <c r="F107" s="16" t="n">
        <v>11</v>
      </c>
      <c r="G107" s="18" t="n">
        <v>97.3</v>
      </c>
      <c r="H107" s="18" t="n">
        <v>74.7</v>
      </c>
      <c r="I107" s="18" t="n">
        <v>48.72</v>
      </c>
      <c r="J107" s="18" t="n">
        <v>65.77</v>
      </c>
      <c r="K107" s="18" t="n">
        <v>448.2</v>
      </c>
      <c r="L107" s="18" t="n">
        <v>141.4</v>
      </c>
      <c r="M107" s="16" t="n">
        <v>0</v>
      </c>
      <c r="N107" s="16" t="inlineStr">
        <is>
          <t>No</t>
        </is>
      </c>
      <c r="O107" s="32" t="n">
        <v>4088.48</v>
      </c>
    </row>
    <row r="108">
      <c r="B108" s="10" t="inlineStr">
        <is>
          <t>Kolkata</t>
        </is>
      </c>
      <c r="C108" s="10" t="inlineStr">
        <is>
          <t>DEP-KOL-MFC</t>
        </is>
      </c>
      <c r="D108" s="10" t="inlineStr">
        <is>
          <t>VEH-KOL-012</t>
        </is>
      </c>
      <c r="E108" s="10" t="inlineStr">
        <is>
          <t>TEMPO_1T</t>
        </is>
      </c>
      <c r="F108" s="10" t="n">
        <v>32</v>
      </c>
      <c r="G108" s="12" t="n">
        <v>12.9</v>
      </c>
      <c r="H108" s="12" t="n">
        <v>104.7</v>
      </c>
      <c r="I108" s="12" t="n">
        <v>77.95</v>
      </c>
      <c r="J108" s="12" t="n">
        <v>105.23</v>
      </c>
      <c r="K108" s="12" t="n">
        <v>628.1</v>
      </c>
      <c r="L108" s="12" t="n">
        <v>168.7</v>
      </c>
      <c r="M108" s="10" t="n">
        <v>0</v>
      </c>
      <c r="N108" s="10" t="inlineStr">
        <is>
          <t>Yes</t>
        </is>
      </c>
      <c r="O108" s="30" t="n">
        <v>5136.52</v>
      </c>
    </row>
    <row r="109">
      <c r="B109" s="16" t="inlineStr">
        <is>
          <t>Kolkata</t>
        </is>
      </c>
      <c r="C109" s="16" t="inlineStr">
        <is>
          <t>DEP-KOL-MFC</t>
        </is>
      </c>
      <c r="D109" s="16" t="inlineStr">
        <is>
          <t>VEH-KOL-015</t>
        </is>
      </c>
      <c r="E109" s="16" t="inlineStr">
        <is>
          <t>TWO_WHEELER</t>
        </is>
      </c>
      <c r="F109" s="16" t="n">
        <v>8</v>
      </c>
      <c r="G109" s="18" t="n">
        <v>49.1</v>
      </c>
      <c r="H109" s="18" t="n">
        <v>62.8</v>
      </c>
      <c r="I109" s="18" t="n">
        <v>22.49</v>
      </c>
      <c r="J109" s="18" t="n">
        <v>30.36</v>
      </c>
      <c r="K109" s="18" t="n">
        <v>301.7</v>
      </c>
      <c r="L109" s="18" t="n">
        <v>154.5</v>
      </c>
      <c r="M109" s="16" t="n">
        <v>0</v>
      </c>
      <c r="N109" s="16" t="inlineStr">
        <is>
          <t>No</t>
        </is>
      </c>
      <c r="O109" s="32" t="n">
        <v>1240.05</v>
      </c>
    </row>
    <row r="110">
      <c r="B110" s="10" t="inlineStr">
        <is>
          <t>Kolkata</t>
        </is>
      </c>
      <c r="C110" s="10" t="inlineStr">
        <is>
          <t>DEP-KOL-MFC</t>
        </is>
      </c>
      <c r="D110" s="10" t="inlineStr">
        <is>
          <t>VEH-KOL-016</t>
        </is>
      </c>
      <c r="E110" s="10" t="inlineStr">
        <is>
          <t>TWO_WHEELER</t>
        </is>
      </c>
      <c r="F110" s="10" t="n">
        <v>13</v>
      </c>
      <c r="G110" s="12" t="n">
        <v>80.40000000000001</v>
      </c>
      <c r="H110" s="12" t="n">
        <v>43.9</v>
      </c>
      <c r="I110" s="12" t="n">
        <v>37.5</v>
      </c>
      <c r="J110" s="12" t="n">
        <v>50.62</v>
      </c>
      <c r="K110" s="12" t="n">
        <v>210.7</v>
      </c>
      <c r="L110" s="12" t="n">
        <v>10</v>
      </c>
      <c r="M110" s="10" t="n">
        <v>0</v>
      </c>
      <c r="N110" s="10" t="inlineStr">
        <is>
          <t>No</t>
        </is>
      </c>
      <c r="O110" s="30" t="n">
        <v>1104.69</v>
      </c>
    </row>
    <row r="111">
      <c r="B111" s="16" t="inlineStr">
        <is>
          <t>Kolkata</t>
        </is>
      </c>
      <c r="C111" s="16" t="inlineStr">
        <is>
          <t>DEP-KOL-MFC</t>
        </is>
      </c>
      <c r="D111" s="16" t="inlineStr">
        <is>
          <t>VEH-KOL-017</t>
        </is>
      </c>
      <c r="E111" s="16" t="inlineStr">
        <is>
          <t>TWO_WHEELER</t>
        </is>
      </c>
      <c r="F111" s="16" t="n">
        <v>12</v>
      </c>
      <c r="G111" s="18" t="n">
        <v>87.5</v>
      </c>
      <c r="H111" s="18" t="n">
        <v>74.7</v>
      </c>
      <c r="I111" s="18" t="n">
        <v>31.95</v>
      </c>
      <c r="J111" s="18" t="n">
        <v>43.13</v>
      </c>
      <c r="K111" s="18" t="n">
        <v>358.4</v>
      </c>
      <c r="L111" s="18" t="n">
        <v>152</v>
      </c>
      <c r="M111" s="16" t="n">
        <v>0</v>
      </c>
      <c r="N111" s="16" t="inlineStr">
        <is>
          <t>No</t>
        </is>
      </c>
      <c r="O111" s="32" t="n">
        <v>1413.25</v>
      </c>
    </row>
    <row r="112">
      <c r="B112" s="10" t="inlineStr">
        <is>
          <t>Kolkata</t>
        </is>
      </c>
      <c r="C112" s="10" t="inlineStr">
        <is>
          <t>DEP-KOL-HUB</t>
        </is>
      </c>
      <c r="D112" s="10" t="inlineStr">
        <is>
          <t>VEH-KOL-019</t>
        </is>
      </c>
      <c r="E112" s="10" t="inlineStr">
        <is>
          <t>VAN_2T</t>
        </is>
      </c>
      <c r="F112" s="10" t="n">
        <v>15</v>
      </c>
      <c r="G112" s="12" t="n">
        <v>83</v>
      </c>
      <c r="H112" s="12" t="n">
        <v>78.59999999999999</v>
      </c>
      <c r="I112" s="12" t="n">
        <v>54</v>
      </c>
      <c r="J112" s="12" t="n">
        <v>72.89</v>
      </c>
      <c r="K112" s="12" t="n">
        <v>471.5</v>
      </c>
      <c r="L112" s="12" t="n">
        <v>25.6</v>
      </c>
      <c r="M112" s="10" t="n">
        <v>1</v>
      </c>
      <c r="N112" s="10" t="inlineStr">
        <is>
          <t>No</t>
        </is>
      </c>
      <c r="O112" s="30" t="n">
        <v>5648.41</v>
      </c>
    </row>
    <row r="113">
      <c r="B113" s="16" t="inlineStr">
        <is>
          <t>Kolkata</t>
        </is>
      </c>
      <c r="C113" s="16" t="inlineStr">
        <is>
          <t>DEP-KOL-HUB</t>
        </is>
      </c>
      <c r="D113" s="16" t="inlineStr">
        <is>
          <t>VEH-KOL-020</t>
        </is>
      </c>
      <c r="E113" s="16" t="inlineStr">
        <is>
          <t>VAN_2T</t>
        </is>
      </c>
      <c r="F113" s="16" t="n">
        <v>17</v>
      </c>
      <c r="G113" s="18" t="n">
        <v>82.2</v>
      </c>
      <c r="H113" s="18" t="n">
        <v>73.09999999999999</v>
      </c>
      <c r="I113" s="18" t="n">
        <v>54.25</v>
      </c>
      <c r="J113" s="18" t="n">
        <v>73.23999999999999</v>
      </c>
      <c r="K113" s="18" t="n">
        <v>438.7</v>
      </c>
      <c r="L113" s="18" t="n">
        <v>2.6</v>
      </c>
      <c r="M113" s="16" t="n">
        <v>0</v>
      </c>
      <c r="N113" s="16" t="inlineStr">
        <is>
          <t>No</t>
        </is>
      </c>
      <c r="O113" s="32" t="n">
        <v>5547.69</v>
      </c>
    </row>
    <row r="114">
      <c r="B114" s="10" t="inlineStr">
        <is>
          <t>Kolkata</t>
        </is>
      </c>
      <c r="C114" s="10" t="inlineStr">
        <is>
          <t>DEP-KOL-HUB</t>
        </is>
      </c>
      <c r="D114" s="10" t="inlineStr">
        <is>
          <t>VEH-KOL-024</t>
        </is>
      </c>
      <c r="E114" s="10" t="inlineStr">
        <is>
          <t>TWO_WHEELER</t>
        </is>
      </c>
      <c r="F114" s="10" t="n">
        <v>15</v>
      </c>
      <c r="G114" s="12" t="n">
        <v>72.3</v>
      </c>
      <c r="H114" s="12" t="n">
        <v>105.6</v>
      </c>
      <c r="I114" s="12" t="n">
        <v>59.93</v>
      </c>
      <c r="J114" s="12" t="n">
        <v>80.90000000000001</v>
      </c>
      <c r="K114" s="12" t="n">
        <v>506.9</v>
      </c>
      <c r="L114" s="12" t="n">
        <v>201.7</v>
      </c>
      <c r="M114" s="10" t="n">
        <v>0</v>
      </c>
      <c r="N114" s="10" t="inlineStr">
        <is>
          <t>Yes</t>
        </is>
      </c>
      <c r="O114" s="30" t="n">
        <v>1882.14</v>
      </c>
    </row>
    <row r="117">
      <c r="B117" s="7" t="inlineStr">
        <is>
          <t>Unassigned orders in the optimized plan (9)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>
      <c r="B118" s="22" t="inlineStr">
        <is>
          <t>Explicitly reported and costed at the spot-outsourcing rate.</t>
        </is>
      </c>
    </row>
    <row r="119" ht="30" customHeight="1">
      <c r="B119" s="9" t="inlineStr">
        <is>
          <t>order_id</t>
        </is>
      </c>
      <c r="C119" s="9" t="inlineStr">
        <is>
          <t>city_id</t>
        </is>
      </c>
      <c r="D119" s="9" t="inlineStr">
        <is>
          <t>depot_id</t>
        </is>
      </c>
      <c r="E119" s="9" t="inlineStr">
        <is>
          <t>segment</t>
        </is>
      </c>
      <c r="F119" s="9" t="inlineStr">
        <is>
          <t>zone</t>
        </is>
      </c>
      <c r="G119" s="9" t="inlineStr">
        <is>
          <t>weight_kg</t>
        </is>
      </c>
      <c r="H119" s="9" t="inlineStr">
        <is>
          <t>tw_start_min</t>
        </is>
      </c>
      <c r="I119" s="9" t="inlineStr">
        <is>
          <t>tw_end_min</t>
        </is>
      </c>
      <c r="J119" s="9" t="inlineStr">
        <is>
          <t>outsourcing_cost</t>
        </is>
      </c>
      <c r="K119" s="9" t="inlineStr">
        <is>
          <t>reason</t>
        </is>
      </c>
    </row>
    <row r="120">
      <c r="B120" s="10" t="inlineStr">
        <is>
          <t>ORD-DEL-002423</t>
        </is>
      </c>
      <c r="C120" s="10" t="inlineStr">
        <is>
          <t>DEL</t>
        </is>
      </c>
      <c r="D120" s="10" t="inlineStr">
        <is>
          <t>DEP-DEL-MFC</t>
        </is>
      </c>
      <c r="E120" s="10" t="inlineStr">
        <is>
          <t>ECOM_B2C</t>
        </is>
      </c>
      <c r="F120" s="10" t="inlineStr">
        <is>
          <t>Gurugram</t>
        </is>
      </c>
      <c r="G120" s="10" t="n">
        <v>4.59</v>
      </c>
      <c r="H120" s="10" t="n">
        <v>1080</v>
      </c>
      <c r="I120" s="10" t="n">
        <v>1200</v>
      </c>
      <c r="J120" s="30" t="n">
        <v>220</v>
      </c>
      <c r="K120" s="10" t="inlineStr">
        <is>
          <t>capacity/time-window/duration limits</t>
        </is>
      </c>
    </row>
    <row r="121">
      <c r="B121" s="16" t="inlineStr">
        <is>
          <t>ORD-DEL-002440</t>
        </is>
      </c>
      <c r="C121" s="16" t="inlineStr">
        <is>
          <t>DEL</t>
        </is>
      </c>
      <c r="D121" s="16" t="inlineStr">
        <is>
          <t>DEP-DEL-MFC</t>
        </is>
      </c>
      <c r="E121" s="16" t="inlineStr">
        <is>
          <t>ECOM_B2C</t>
        </is>
      </c>
      <c r="F121" s="16" t="inlineStr">
        <is>
          <t>West Delhi</t>
        </is>
      </c>
      <c r="G121" s="16" t="n">
        <v>6.86</v>
      </c>
      <c r="H121" s="16" t="n">
        <v>540</v>
      </c>
      <c r="I121" s="16" t="n">
        <v>720</v>
      </c>
      <c r="J121" s="32" t="n">
        <v>220</v>
      </c>
      <c r="K121" s="16" t="inlineStr">
        <is>
          <t>capacity/time-window/duration limits</t>
        </is>
      </c>
    </row>
    <row r="122">
      <c r="B122" s="10" t="inlineStr">
        <is>
          <t>ORD-DEL-002526</t>
        </is>
      </c>
      <c r="C122" s="10" t="inlineStr">
        <is>
          <t>DEL</t>
        </is>
      </c>
      <c r="D122" s="10" t="inlineStr">
        <is>
          <t>DEP-DEL-MFC</t>
        </is>
      </c>
      <c r="E122" s="10" t="inlineStr">
        <is>
          <t>ECOM_B2C</t>
        </is>
      </c>
      <c r="F122" s="10" t="inlineStr">
        <is>
          <t>West Delhi</t>
        </is>
      </c>
      <c r="G122" s="10" t="n">
        <v>12.23</v>
      </c>
      <c r="H122" s="10" t="n">
        <v>540</v>
      </c>
      <c r="I122" s="10" t="n">
        <v>720</v>
      </c>
      <c r="J122" s="30" t="n">
        <v>220</v>
      </c>
      <c r="K122" s="10" t="inlineStr">
        <is>
          <t>capacity/time-window/duration limits</t>
        </is>
      </c>
    </row>
    <row r="123">
      <c r="B123" s="16" t="inlineStr">
        <is>
          <t>ORD-DEL-002531</t>
        </is>
      </c>
      <c r="C123" s="16" t="inlineStr">
        <is>
          <t>DEL</t>
        </is>
      </c>
      <c r="D123" s="16" t="inlineStr">
        <is>
          <t>DEP-DEL-MFC</t>
        </is>
      </c>
      <c r="E123" s="16" t="inlineStr">
        <is>
          <t>ECOM_B2C</t>
        </is>
      </c>
      <c r="F123" s="16" t="inlineStr">
        <is>
          <t>West Delhi</t>
        </is>
      </c>
      <c r="G123" s="16" t="n">
        <v>2.04</v>
      </c>
      <c r="H123" s="16" t="n">
        <v>540</v>
      </c>
      <c r="I123" s="16" t="n">
        <v>720</v>
      </c>
      <c r="J123" s="32" t="n">
        <v>220</v>
      </c>
      <c r="K123" s="16" t="inlineStr">
        <is>
          <t>capacity/time-window/duration limits</t>
        </is>
      </c>
    </row>
    <row r="124">
      <c r="B124" s="10" t="inlineStr">
        <is>
          <t>ORD-DEL-002540</t>
        </is>
      </c>
      <c r="C124" s="10" t="inlineStr">
        <is>
          <t>DEL</t>
        </is>
      </c>
      <c r="D124" s="10" t="inlineStr">
        <is>
          <t>DEP-DEL-MFC</t>
        </is>
      </c>
      <c r="E124" s="10" t="inlineStr">
        <is>
          <t>ECOM_B2C</t>
        </is>
      </c>
      <c r="F124" s="10" t="inlineStr">
        <is>
          <t>Gurugram</t>
        </is>
      </c>
      <c r="G124" s="10" t="n">
        <v>3.62</v>
      </c>
      <c r="H124" s="10" t="n">
        <v>1080</v>
      </c>
      <c r="I124" s="10" t="n">
        <v>1260</v>
      </c>
      <c r="J124" s="30" t="n">
        <v>220</v>
      </c>
      <c r="K124" s="10" t="inlineStr">
        <is>
          <t>capacity/time-window/duration limits</t>
        </is>
      </c>
    </row>
    <row r="125">
      <c r="B125" s="16" t="inlineStr">
        <is>
          <t>ORD-DEL-002635</t>
        </is>
      </c>
      <c r="C125" s="16" t="inlineStr">
        <is>
          <t>DEL</t>
        </is>
      </c>
      <c r="D125" s="16" t="inlineStr">
        <is>
          <t>DEP-DEL-DC</t>
        </is>
      </c>
      <c r="E125" s="16" t="inlineStr">
        <is>
          <t>AUTOMOTIVE</t>
        </is>
      </c>
      <c r="F125" s="16" t="inlineStr">
        <is>
          <t>Noida</t>
        </is>
      </c>
      <c r="G125" s="16" t="n">
        <v>148.09</v>
      </c>
      <c r="H125" s="16" t="n">
        <v>480</v>
      </c>
      <c r="I125" s="16" t="n">
        <v>600</v>
      </c>
      <c r="J125" s="32" t="n">
        <v>2400</v>
      </c>
      <c r="K125" s="16" t="inlineStr">
        <is>
          <t>capacity/time-window/duration limits</t>
        </is>
      </c>
    </row>
    <row r="126">
      <c r="B126" s="10" t="inlineStr">
        <is>
          <t>ORD-DEL-002642</t>
        </is>
      </c>
      <c r="C126" s="10" t="inlineStr">
        <is>
          <t>DEL</t>
        </is>
      </c>
      <c r="D126" s="10" t="inlineStr">
        <is>
          <t>DEP-DEL-DC</t>
        </is>
      </c>
      <c r="E126" s="10" t="inlineStr">
        <is>
          <t>AUTOMOTIVE</t>
        </is>
      </c>
      <c r="F126" s="10" t="inlineStr">
        <is>
          <t>South Delhi</t>
        </is>
      </c>
      <c r="G126" s="10" t="n">
        <v>52.1</v>
      </c>
      <c r="H126" s="10" t="n">
        <v>480</v>
      </c>
      <c r="I126" s="10" t="n">
        <v>600</v>
      </c>
      <c r="J126" s="30" t="n">
        <v>2400</v>
      </c>
      <c r="K126" s="10" t="inlineStr">
        <is>
          <t>capacity/time-window/duration limits</t>
        </is>
      </c>
    </row>
    <row r="127">
      <c r="B127" s="16" t="inlineStr">
        <is>
          <t>ORD-DEL-002645</t>
        </is>
      </c>
      <c r="C127" s="16" t="inlineStr">
        <is>
          <t>DEL</t>
        </is>
      </c>
      <c r="D127" s="16" t="inlineStr">
        <is>
          <t>DEP-DEL-DC</t>
        </is>
      </c>
      <c r="E127" s="16" t="inlineStr">
        <is>
          <t>AUTOMOTIVE</t>
        </is>
      </c>
      <c r="F127" s="16" t="inlineStr">
        <is>
          <t>South Delhi</t>
        </is>
      </c>
      <c r="G127" s="16" t="n">
        <v>20.06</v>
      </c>
      <c r="H127" s="16" t="n">
        <v>480</v>
      </c>
      <c r="I127" s="16" t="n">
        <v>600</v>
      </c>
      <c r="J127" s="32" t="n">
        <v>2400</v>
      </c>
      <c r="K127" s="16" t="inlineStr">
        <is>
          <t>capacity/time-window/duration limits</t>
        </is>
      </c>
    </row>
    <row r="128">
      <c r="B128" s="10" t="inlineStr">
        <is>
          <t>ORD-DEL-002653</t>
        </is>
      </c>
      <c r="C128" s="10" t="inlineStr">
        <is>
          <t>DEL</t>
        </is>
      </c>
      <c r="D128" s="10" t="inlineStr">
        <is>
          <t>DEP-DEL-DC</t>
        </is>
      </c>
      <c r="E128" s="10" t="inlineStr">
        <is>
          <t>AUTOMOTIVE</t>
        </is>
      </c>
      <c r="F128" s="10" t="inlineStr">
        <is>
          <t>Central Delhi</t>
        </is>
      </c>
      <c r="G128" s="10" t="n">
        <v>50.45</v>
      </c>
      <c r="H128" s="10" t="n">
        <v>480</v>
      </c>
      <c r="I128" s="10" t="n">
        <v>600</v>
      </c>
      <c r="J128" s="30" t="n">
        <v>2400</v>
      </c>
      <c r="K128" s="10" t="inlineStr">
        <is>
          <t>capacity/time-window/duration limits</t>
        </is>
      </c>
    </row>
    <row r="131">
      <c r="B131" s="7" t="inlineStr">
        <is>
          <t>Stop-level audit trail (1,100 stops, filterable)</t>
        </is>
      </c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 ht="30" customHeight="1">
      <c r="B132" s="9" t="inlineStr">
        <is>
          <t>city_id</t>
        </is>
      </c>
      <c r="C132" s="9" t="inlineStr">
        <is>
          <t>vehicle_id</t>
        </is>
      </c>
      <c r="D132" s="9" t="inlineStr">
        <is>
          <t>seq</t>
        </is>
      </c>
      <c r="E132" s="9" t="inlineStr">
        <is>
          <t>order_id</t>
        </is>
      </c>
      <c r="F132" s="9" t="inlineStr">
        <is>
          <t>segment</t>
        </is>
      </c>
      <c r="G132" s="9" t="inlineStr">
        <is>
          <t>zone</t>
        </is>
      </c>
      <c r="H132" s="9" t="inlineStr">
        <is>
          <t>weight_kg</t>
        </is>
      </c>
      <c r="I132" s="9" t="inlineStr">
        <is>
          <t>tw_start_min</t>
        </is>
      </c>
      <c r="J132" s="9" t="inlineStr">
        <is>
          <t>tw_end_min</t>
        </is>
      </c>
      <c r="K132" s="9" t="inlineStr">
        <is>
          <t>arrival_min</t>
        </is>
      </c>
      <c r="L132" s="9" t="inlineStr">
        <is>
          <t>late_min</t>
        </is>
      </c>
      <c r="M132" s="9" t="inlineStr">
        <is>
          <t>on_time</t>
        </is>
      </c>
      <c r="N132" s="9" t="inlineStr">
        <is>
          <t>leg_straight_km</t>
        </is>
      </c>
      <c r="O132" s="9" t="inlineStr">
        <is>
          <t>leg_road_km</t>
        </is>
      </c>
      <c r="P132" s="9" t="inlineStr">
        <is>
          <t>leg_travel_min</t>
        </is>
      </c>
    </row>
    <row r="133">
      <c r="B133" s="10" t="inlineStr">
        <is>
          <t>BLR</t>
        </is>
      </c>
      <c r="C133" s="10" t="inlineStr">
        <is>
          <t>VEH-BLR-001</t>
        </is>
      </c>
      <c r="D133" s="10" t="n">
        <v>1</v>
      </c>
      <c r="E133" s="10" t="inlineStr">
        <is>
          <t>ORD-BLR-002140</t>
        </is>
      </c>
      <c r="F133" s="10" t="inlineStr">
        <is>
          <t>AUTOMOTIVE</t>
        </is>
      </c>
      <c r="G133" s="10" t="inlineStr">
        <is>
          <t>East Bengaluru</t>
        </is>
      </c>
      <c r="H133" s="10" t="n">
        <v>116.73</v>
      </c>
      <c r="I133" s="10" t="n">
        <v>480</v>
      </c>
      <c r="J133" s="10" t="n">
        <v>720</v>
      </c>
      <c r="K133" s="12" t="n">
        <v>466</v>
      </c>
      <c r="L133" s="12" t="n">
        <v>0</v>
      </c>
      <c r="M133" s="10" t="inlineStr">
        <is>
          <t>Yes</t>
        </is>
      </c>
      <c r="N133" s="11" t="n">
        <v>13.148</v>
      </c>
      <c r="O133" s="11" t="n">
        <v>17.75</v>
      </c>
      <c r="P133" s="12" t="n">
        <v>46</v>
      </c>
    </row>
    <row r="134">
      <c r="B134" s="16" t="inlineStr">
        <is>
          <t>BLR</t>
        </is>
      </c>
      <c r="C134" s="16" t="inlineStr">
        <is>
          <t>VEH-BLR-001</t>
        </is>
      </c>
      <c r="D134" s="16" t="n">
        <v>2</v>
      </c>
      <c r="E134" s="16" t="inlineStr">
        <is>
          <t>ORD-BLR-002139</t>
        </is>
      </c>
      <c r="F134" s="16" t="inlineStr">
        <is>
          <t>AUTOMOTIVE</t>
        </is>
      </c>
      <c r="G134" s="16" t="inlineStr">
        <is>
          <t>East Bengaluru</t>
        </is>
      </c>
      <c r="H134" s="16" t="n">
        <v>261</v>
      </c>
      <c r="I134" s="16" t="n">
        <v>480</v>
      </c>
      <c r="J134" s="16" t="n">
        <v>600</v>
      </c>
      <c r="K134" s="18" t="n">
        <v>533.1</v>
      </c>
      <c r="L134" s="18" t="n">
        <v>0</v>
      </c>
      <c r="M134" s="16" t="inlineStr">
        <is>
          <t>Yes</t>
        </is>
      </c>
      <c r="N134" s="17" t="n">
        <v>6.198</v>
      </c>
      <c r="O134" s="17" t="n">
        <v>8.367000000000001</v>
      </c>
      <c r="P134" s="18" t="n">
        <v>39</v>
      </c>
    </row>
    <row r="135">
      <c r="B135" s="10" t="inlineStr">
        <is>
          <t>BLR</t>
        </is>
      </c>
      <c r="C135" s="10" t="inlineStr">
        <is>
          <t>VEH-BLR-001</t>
        </is>
      </c>
      <c r="D135" s="10" t="n">
        <v>3</v>
      </c>
      <c r="E135" s="10" t="inlineStr">
        <is>
          <t>ORD-BLR-002148</t>
        </is>
      </c>
      <c r="F135" s="10" t="inlineStr">
        <is>
          <t>AUTOMOTIVE</t>
        </is>
      </c>
      <c r="G135" s="10" t="inlineStr">
        <is>
          <t>East Bengaluru</t>
        </is>
      </c>
      <c r="H135" s="10" t="n">
        <v>187</v>
      </c>
      <c r="I135" s="10" t="n">
        <v>480</v>
      </c>
      <c r="J135" s="10" t="n">
        <v>720</v>
      </c>
      <c r="K135" s="12" t="n">
        <v>552.3</v>
      </c>
      <c r="L135" s="12" t="n">
        <v>0</v>
      </c>
      <c r="M135" s="10" t="inlineStr">
        <is>
          <t>Yes</t>
        </is>
      </c>
      <c r="N135" s="11" t="n">
        <v>0</v>
      </c>
      <c r="O135" s="11" t="n">
        <v>0</v>
      </c>
      <c r="P135" s="12" t="n">
        <v>0</v>
      </c>
    </row>
    <row r="136">
      <c r="B136" s="16" t="inlineStr">
        <is>
          <t>BLR</t>
        </is>
      </c>
      <c r="C136" s="16" t="inlineStr">
        <is>
          <t>VEH-BLR-001</t>
        </is>
      </c>
      <c r="D136" s="16" t="n">
        <v>4</v>
      </c>
      <c r="E136" s="16" t="inlineStr">
        <is>
          <t>ORD-BLR-002133</t>
        </is>
      </c>
      <c r="F136" s="16" t="inlineStr">
        <is>
          <t>MODERN_RETAIL</t>
        </is>
      </c>
      <c r="G136" s="16" t="inlineStr">
        <is>
          <t>South Bengaluru</t>
        </is>
      </c>
      <c r="H136" s="16" t="n">
        <v>57.98</v>
      </c>
      <c r="I136" s="16" t="n">
        <v>480</v>
      </c>
      <c r="J136" s="16" t="n">
        <v>720</v>
      </c>
      <c r="K136" s="18" t="n">
        <v>621.8</v>
      </c>
      <c r="L136" s="18" t="n">
        <v>0</v>
      </c>
      <c r="M136" s="16" t="inlineStr">
        <is>
          <t>Yes</t>
        </is>
      </c>
      <c r="N136" s="17" t="n">
        <v>8.494</v>
      </c>
      <c r="O136" s="17" t="n">
        <v>11.466</v>
      </c>
      <c r="P136" s="18" t="n">
        <v>53</v>
      </c>
    </row>
    <row r="137">
      <c r="B137" s="10" t="inlineStr">
        <is>
          <t>BLR</t>
        </is>
      </c>
      <c r="C137" s="10" t="inlineStr">
        <is>
          <t>VEH-BLR-001</t>
        </is>
      </c>
      <c r="D137" s="10" t="n">
        <v>5</v>
      </c>
      <c r="E137" s="10" t="inlineStr">
        <is>
          <t>ORD-BLR-002147</t>
        </is>
      </c>
      <c r="F137" s="10" t="inlineStr">
        <is>
          <t>AUTOMOTIVE</t>
        </is>
      </c>
      <c r="G137" s="10" t="inlineStr">
        <is>
          <t>South Bengaluru</t>
        </is>
      </c>
      <c r="H137" s="10" t="n">
        <v>61.09</v>
      </c>
      <c r="I137" s="10" t="n">
        <v>480</v>
      </c>
      <c r="J137" s="10" t="n">
        <v>720</v>
      </c>
      <c r="K137" s="12" t="n">
        <v>648.3</v>
      </c>
      <c r="L137" s="12" t="n">
        <v>0</v>
      </c>
      <c r="M137" s="10" t="inlineStr">
        <is>
          <t>Yes</t>
        </is>
      </c>
      <c r="N137" s="11" t="n">
        <v>2.322</v>
      </c>
      <c r="O137" s="11" t="n">
        <v>3.134</v>
      </c>
      <c r="P137" s="12" t="n">
        <v>14.5</v>
      </c>
    </row>
    <row r="138">
      <c r="B138" s="16" t="inlineStr">
        <is>
          <t>BLR</t>
        </is>
      </c>
      <c r="C138" s="16" t="inlineStr">
        <is>
          <t>VEH-BLR-001</t>
        </is>
      </c>
      <c r="D138" s="16" t="n">
        <v>6</v>
      </c>
      <c r="E138" s="16" t="inlineStr">
        <is>
          <t>ORD-BLR-002137</t>
        </is>
      </c>
      <c r="F138" s="16" t="inlineStr">
        <is>
          <t>AUTOMOTIVE</t>
        </is>
      </c>
      <c r="G138" s="16" t="inlineStr">
        <is>
          <t>South Bengaluru</t>
        </is>
      </c>
      <c r="H138" s="16" t="n">
        <v>34.78</v>
      </c>
      <c r="I138" s="16" t="n">
        <v>480</v>
      </c>
      <c r="J138" s="16" t="n">
        <v>720</v>
      </c>
      <c r="K138" s="18" t="n">
        <v>660.5</v>
      </c>
      <c r="L138" s="18" t="n">
        <v>0</v>
      </c>
      <c r="M138" s="16" t="inlineStr">
        <is>
          <t>Yes</t>
        </is>
      </c>
      <c r="N138" s="17" t="n">
        <v>0</v>
      </c>
      <c r="O138" s="17" t="n">
        <v>0</v>
      </c>
      <c r="P138" s="18" t="n">
        <v>0</v>
      </c>
    </row>
    <row r="139">
      <c r="B139" s="10" t="inlineStr">
        <is>
          <t>BLR</t>
        </is>
      </c>
      <c r="C139" s="10" t="inlineStr">
        <is>
          <t>VEH-BLR-001</t>
        </is>
      </c>
      <c r="D139" s="10" t="n">
        <v>7</v>
      </c>
      <c r="E139" s="10" t="inlineStr">
        <is>
          <t>ORD-BLR-002123</t>
        </is>
      </c>
      <c r="F139" s="10" t="inlineStr">
        <is>
          <t>MODERN_RETAIL</t>
        </is>
      </c>
      <c r="G139" s="10" t="inlineStr">
        <is>
          <t>South Bengaluru</t>
        </is>
      </c>
      <c r="H139" s="10" t="n">
        <v>80.15000000000001</v>
      </c>
      <c r="I139" s="10" t="n">
        <v>480</v>
      </c>
      <c r="J139" s="10" t="n">
        <v>720</v>
      </c>
      <c r="K139" s="12" t="n">
        <v>682.4</v>
      </c>
      <c r="L139" s="12" t="n">
        <v>0</v>
      </c>
      <c r="M139" s="10" t="inlineStr">
        <is>
          <t>Yes</t>
        </is>
      </c>
      <c r="N139" s="11" t="n">
        <v>2.807</v>
      </c>
      <c r="O139" s="11" t="n">
        <v>3.789</v>
      </c>
      <c r="P139" s="12" t="n">
        <v>10.7</v>
      </c>
    </row>
    <row r="140">
      <c r="B140" s="16" t="inlineStr">
        <is>
          <t>BLR</t>
        </is>
      </c>
      <c r="C140" s="16" t="inlineStr">
        <is>
          <t>VEH-BLR-001</t>
        </is>
      </c>
      <c r="D140" s="16" t="n">
        <v>8</v>
      </c>
      <c r="E140" s="16" t="inlineStr">
        <is>
          <t>ORD-BLR-002128</t>
        </is>
      </c>
      <c r="F140" s="16" t="inlineStr">
        <is>
          <t>MODERN_RETAIL</t>
        </is>
      </c>
      <c r="G140" s="16" t="inlineStr">
        <is>
          <t>East Bengaluru</t>
        </is>
      </c>
      <c r="H140" s="16" t="n">
        <v>347.6</v>
      </c>
      <c r="I140" s="16" t="n">
        <v>600</v>
      </c>
      <c r="J140" s="16" t="n">
        <v>900</v>
      </c>
      <c r="K140" s="18" t="n">
        <v>736.6</v>
      </c>
      <c r="L140" s="18" t="n">
        <v>0</v>
      </c>
      <c r="M140" s="16" t="inlineStr">
        <is>
          <t>Yes</t>
        </is>
      </c>
      <c r="N140" s="17" t="n">
        <v>10.762</v>
      </c>
      <c r="O140" s="17" t="n">
        <v>14.528</v>
      </c>
      <c r="P140" s="18" t="n">
        <v>41.4</v>
      </c>
    </row>
    <row r="141">
      <c r="B141" s="10" t="inlineStr">
        <is>
          <t>BLR</t>
        </is>
      </c>
      <c r="C141" s="10" t="inlineStr">
        <is>
          <t>VEH-BLR-001</t>
        </is>
      </c>
      <c r="D141" s="10" t="n">
        <v>9</v>
      </c>
      <c r="E141" s="10" t="inlineStr">
        <is>
          <t>ORD-BLR-002061</t>
        </is>
      </c>
      <c r="F141" s="10" t="inlineStr">
        <is>
          <t>ECOM_B2C</t>
        </is>
      </c>
      <c r="G141" s="10" t="inlineStr">
        <is>
          <t>East Bengaluru</t>
        </is>
      </c>
      <c r="H141" s="10" t="n">
        <v>2.56</v>
      </c>
      <c r="I141" s="10" t="n">
        <v>840</v>
      </c>
      <c r="J141" s="10" t="n">
        <v>960</v>
      </c>
      <c r="K141" s="12" t="n">
        <v>779.2</v>
      </c>
      <c r="L141" s="12" t="n">
        <v>0</v>
      </c>
      <c r="M141" s="10" t="inlineStr">
        <is>
          <t>Yes</t>
        </is>
      </c>
      <c r="N141" s="11" t="n">
        <v>5.302</v>
      </c>
      <c r="O141" s="11" t="n">
        <v>7.157</v>
      </c>
      <c r="P141" s="12" t="n">
        <v>20.4</v>
      </c>
    </row>
    <row r="142">
      <c r="B142" s="16" t="inlineStr">
        <is>
          <t>BLR</t>
        </is>
      </c>
      <c r="C142" s="16" t="inlineStr">
        <is>
          <t>VEH-BLR-001</t>
        </is>
      </c>
      <c r="D142" s="16" t="n">
        <v>10</v>
      </c>
      <c r="E142" s="16" t="inlineStr">
        <is>
          <t>ORD-BLR-002125</t>
        </is>
      </c>
      <c r="F142" s="16" t="inlineStr">
        <is>
          <t>MODERN_RETAIL</t>
        </is>
      </c>
      <c r="G142" s="16" t="inlineStr">
        <is>
          <t>East Bengaluru</t>
        </is>
      </c>
      <c r="H142" s="16" t="n">
        <v>480.17</v>
      </c>
      <c r="I142" s="16" t="n">
        <v>600</v>
      </c>
      <c r="J142" s="16" t="n">
        <v>900</v>
      </c>
      <c r="K142" s="18" t="n">
        <v>849.6</v>
      </c>
      <c r="L142" s="18" t="n">
        <v>0</v>
      </c>
      <c r="M142" s="16" t="inlineStr">
        <is>
          <t>Yes</t>
        </is>
      </c>
      <c r="N142" s="17" t="n">
        <v>1.464</v>
      </c>
      <c r="O142" s="17" t="n">
        <v>1.976</v>
      </c>
      <c r="P142" s="18" t="n">
        <v>5.6</v>
      </c>
    </row>
    <row r="143">
      <c r="B143" s="10" t="inlineStr">
        <is>
          <t>BLR</t>
        </is>
      </c>
      <c r="C143" s="10" t="inlineStr">
        <is>
          <t>VEH-BLR-003</t>
        </is>
      </c>
      <c r="D143" s="10" t="n">
        <v>1</v>
      </c>
      <c r="E143" s="10" t="inlineStr">
        <is>
          <t>ORD-BLR-002121</t>
        </is>
      </c>
      <c r="F143" s="10" t="inlineStr">
        <is>
          <t>MODERN_RETAIL</t>
        </is>
      </c>
      <c r="G143" s="10" t="inlineStr">
        <is>
          <t>West Bengaluru</t>
        </is>
      </c>
      <c r="H143" s="10" t="n">
        <v>210.67</v>
      </c>
      <c r="I143" s="10" t="n">
        <v>600</v>
      </c>
      <c r="J143" s="10" t="n">
        <v>900</v>
      </c>
      <c r="K143" s="12" t="n">
        <v>553.3</v>
      </c>
      <c r="L143" s="12" t="n">
        <v>0</v>
      </c>
      <c r="M143" s="10" t="inlineStr">
        <is>
          <t>Yes</t>
        </is>
      </c>
      <c r="N143" s="11" t="n">
        <v>38.496</v>
      </c>
      <c r="O143" s="11" t="n">
        <v>51.969</v>
      </c>
      <c r="P143" s="12" t="n">
        <v>133.3</v>
      </c>
    </row>
    <row r="144">
      <c r="B144" s="16" t="inlineStr">
        <is>
          <t>BLR</t>
        </is>
      </c>
      <c r="C144" s="16" t="inlineStr">
        <is>
          <t>VEH-BLR-003</t>
        </is>
      </c>
      <c r="D144" s="16" t="n">
        <v>2</v>
      </c>
      <c r="E144" s="16" t="inlineStr">
        <is>
          <t>ORD-BLR-002126</t>
        </is>
      </c>
      <c r="F144" s="16" t="inlineStr">
        <is>
          <t>MODERN_RETAIL</t>
        </is>
      </c>
      <c r="G144" s="16" t="inlineStr">
        <is>
          <t>West Bengaluru</t>
        </is>
      </c>
      <c r="H144" s="16" t="n">
        <v>321.76</v>
      </c>
      <c r="I144" s="16" t="n">
        <v>480</v>
      </c>
      <c r="J144" s="16" t="n">
        <v>720</v>
      </c>
      <c r="K144" s="18" t="n">
        <v>619.6</v>
      </c>
      <c r="L144" s="18" t="n">
        <v>0</v>
      </c>
      <c r="M144" s="16" t="inlineStr">
        <is>
          <t>Yes</t>
        </is>
      </c>
      <c r="N144" s="17" t="n">
        <v>0.35</v>
      </c>
      <c r="O144" s="17" t="n">
        <v>0.473</v>
      </c>
      <c r="P144" s="18" t="n">
        <v>2.2</v>
      </c>
    </row>
    <row r="145">
      <c r="B145" s="10" t="inlineStr">
        <is>
          <t>BLR</t>
        </is>
      </c>
      <c r="C145" s="10" t="inlineStr">
        <is>
          <t>VEH-BLR-003</t>
        </is>
      </c>
      <c r="D145" s="10" t="n">
        <v>3</v>
      </c>
      <c r="E145" s="10" t="inlineStr">
        <is>
          <t>ORD-BLR-002127</t>
        </is>
      </c>
      <c r="F145" s="10" t="inlineStr">
        <is>
          <t>MODERN_RETAIL</t>
        </is>
      </c>
      <c r="G145" s="10" t="inlineStr">
        <is>
          <t>West Bengaluru</t>
        </is>
      </c>
      <c r="H145" s="10" t="n">
        <v>376.81</v>
      </c>
      <c r="I145" s="10" t="n">
        <v>600</v>
      </c>
      <c r="J145" s="10" t="n">
        <v>900</v>
      </c>
      <c r="K145" s="12" t="n">
        <v>715.3</v>
      </c>
      <c r="L145" s="12" t="n">
        <v>0</v>
      </c>
      <c r="M145" s="10" t="inlineStr">
        <is>
          <t>Yes</t>
        </is>
      </c>
      <c r="N145" s="11" t="n">
        <v>11.956</v>
      </c>
      <c r="O145" s="11" t="n">
        <v>16.141</v>
      </c>
      <c r="P145" s="12" t="n">
        <v>74.5</v>
      </c>
    </row>
    <row r="146">
      <c r="B146" s="16" t="inlineStr">
        <is>
          <t>BLR</t>
        </is>
      </c>
      <c r="C146" s="16" t="inlineStr">
        <is>
          <t>VEH-BLR-003</t>
        </is>
      </c>
      <c r="D146" s="16" t="n">
        <v>4</v>
      </c>
      <c r="E146" s="16" t="inlineStr">
        <is>
          <t>ORD-BLR-002136</t>
        </is>
      </c>
      <c r="F146" s="16" t="inlineStr">
        <is>
          <t>AUTOMOTIVE</t>
        </is>
      </c>
      <c r="G146" s="16" t="inlineStr">
        <is>
          <t>West Bengaluru</t>
        </is>
      </c>
      <c r="H146" s="16" t="n">
        <v>120.96</v>
      </c>
      <c r="I146" s="16" t="n">
        <v>840</v>
      </c>
      <c r="J146" s="16" t="n">
        <v>1080</v>
      </c>
      <c r="K146" s="18" t="n">
        <v>742.7</v>
      </c>
      <c r="L146" s="18" t="n">
        <v>0</v>
      </c>
      <c r="M146" s="16" t="inlineStr">
        <is>
          <t>Yes</t>
        </is>
      </c>
      <c r="N146" s="17" t="n">
        <v>1.101</v>
      </c>
      <c r="O146" s="17" t="n">
        <v>1.486</v>
      </c>
      <c r="P146" s="18" t="n">
        <v>4.2</v>
      </c>
    </row>
    <row r="147">
      <c r="B147" s="10" t="inlineStr">
        <is>
          <t>BLR</t>
        </is>
      </c>
      <c r="C147" s="10" t="inlineStr">
        <is>
          <t>VEH-BLR-003</t>
        </is>
      </c>
      <c r="D147" s="10" t="n">
        <v>5</v>
      </c>
      <c r="E147" s="10" t="inlineStr">
        <is>
          <t>ORD-BLR-002118</t>
        </is>
      </c>
      <c r="F147" s="10" t="inlineStr">
        <is>
          <t>MODERN_RETAIL</t>
        </is>
      </c>
      <c r="G147" s="10" t="inlineStr">
        <is>
          <t>West Bengaluru</t>
        </is>
      </c>
      <c r="H147" s="10" t="n">
        <v>163.6</v>
      </c>
      <c r="I147" s="10" t="n">
        <v>840</v>
      </c>
      <c r="J147" s="10" t="n">
        <v>1080</v>
      </c>
      <c r="K147" s="12" t="n">
        <v>867.5</v>
      </c>
      <c r="L147" s="12" t="n">
        <v>0</v>
      </c>
      <c r="M147" s="10" t="inlineStr">
        <is>
          <t>Yes</t>
        </is>
      </c>
      <c r="N147" s="11" t="n">
        <v>3.48</v>
      </c>
      <c r="O147" s="11" t="n">
        <v>4.699</v>
      </c>
      <c r="P147" s="12" t="n">
        <v>13.3</v>
      </c>
    </row>
    <row r="148">
      <c r="B148" s="16" t="inlineStr">
        <is>
          <t>BLR</t>
        </is>
      </c>
      <c r="C148" s="16" t="inlineStr">
        <is>
          <t>VEH-BLR-003</t>
        </is>
      </c>
      <c r="D148" s="16" t="n">
        <v>6</v>
      </c>
      <c r="E148" s="16" t="inlineStr">
        <is>
          <t>ORD-BLR-002129</t>
        </is>
      </c>
      <c r="F148" s="16" t="inlineStr">
        <is>
          <t>MODERN_RETAIL</t>
        </is>
      </c>
      <c r="G148" s="16" t="inlineStr">
        <is>
          <t>South Bengaluru</t>
        </is>
      </c>
      <c r="H148" s="16" t="n">
        <v>165.63</v>
      </c>
      <c r="I148" s="16" t="n">
        <v>840</v>
      </c>
      <c r="J148" s="16" t="n">
        <v>1080</v>
      </c>
      <c r="K148" s="18" t="n">
        <v>918.1</v>
      </c>
      <c r="L148" s="18" t="n">
        <v>0</v>
      </c>
      <c r="M148" s="16" t="inlineStr">
        <is>
          <t>Yes</t>
        </is>
      </c>
      <c r="N148" s="17" t="n">
        <v>9.15</v>
      </c>
      <c r="O148" s="17" t="n">
        <v>12.352</v>
      </c>
      <c r="P148" s="18" t="n">
        <v>34.9</v>
      </c>
    </row>
    <row r="149">
      <c r="B149" s="10" t="inlineStr">
        <is>
          <t>BLR</t>
        </is>
      </c>
      <c r="C149" s="10" t="inlineStr">
        <is>
          <t>VEH-BLR-003</t>
        </is>
      </c>
      <c r="D149" s="10" t="n">
        <v>7</v>
      </c>
      <c r="E149" s="10" t="inlineStr">
        <is>
          <t>ORD-BLR-002122</t>
        </is>
      </c>
      <c r="F149" s="10" t="inlineStr">
        <is>
          <t>MODERN_RETAIL</t>
        </is>
      </c>
      <c r="G149" s="10" t="inlineStr">
        <is>
          <t>South Bengaluru</t>
        </is>
      </c>
      <c r="H149" s="10" t="n">
        <v>140.24</v>
      </c>
      <c r="I149" s="10" t="n">
        <v>840</v>
      </c>
      <c r="J149" s="10" t="n">
        <v>1080</v>
      </c>
      <c r="K149" s="12" t="n">
        <v>941</v>
      </c>
      <c r="L149" s="12" t="n">
        <v>0</v>
      </c>
      <c r="M149" s="10" t="inlineStr">
        <is>
          <t>Yes</t>
        </is>
      </c>
      <c r="N149" s="11" t="n">
        <v>1.854</v>
      </c>
      <c r="O149" s="11" t="n">
        <v>2.502</v>
      </c>
      <c r="P149" s="12" t="n">
        <v>7.1</v>
      </c>
    </row>
    <row r="150">
      <c r="B150" s="16" t="inlineStr">
        <is>
          <t>BLR</t>
        </is>
      </c>
      <c r="C150" s="16" t="inlineStr">
        <is>
          <t>VEH-BLR-003</t>
        </is>
      </c>
      <c r="D150" s="16" t="n">
        <v>8</v>
      </c>
      <c r="E150" s="16" t="inlineStr">
        <is>
          <t>ORD-BLR-002124</t>
        </is>
      </c>
      <c r="F150" s="16" t="inlineStr">
        <is>
          <t>MODERN_RETAIL</t>
        </is>
      </c>
      <c r="G150" s="16" t="inlineStr">
        <is>
          <t>East Bengaluru</t>
        </is>
      </c>
      <c r="H150" s="16" t="n">
        <v>84.98999999999999</v>
      </c>
      <c r="I150" s="16" t="n">
        <v>840</v>
      </c>
      <c r="J150" s="16" t="n">
        <v>1080</v>
      </c>
      <c r="K150" s="18" t="n">
        <v>991.1</v>
      </c>
      <c r="L150" s="18" t="n">
        <v>0</v>
      </c>
      <c r="M150" s="16" t="inlineStr">
        <is>
          <t>Yes</t>
        </is>
      </c>
      <c r="N150" s="17" t="n">
        <v>9.147</v>
      </c>
      <c r="O150" s="17" t="n">
        <v>12.348</v>
      </c>
      <c r="P150" s="18" t="n">
        <v>35.2</v>
      </c>
    </row>
    <row r="151">
      <c r="B151" s="10" t="inlineStr">
        <is>
          <t>BLR</t>
        </is>
      </c>
      <c r="C151" s="10" t="inlineStr">
        <is>
          <t>VEH-BLR-007</t>
        </is>
      </c>
      <c r="D151" s="10" t="n">
        <v>1</v>
      </c>
      <c r="E151" s="10" t="inlineStr">
        <is>
          <t>ORD-BLR-002152</t>
        </is>
      </c>
      <c r="F151" s="10" t="inlineStr">
        <is>
          <t>AUTOMOTIVE</t>
        </is>
      </c>
      <c r="G151" s="10" t="inlineStr">
        <is>
          <t>North Bengaluru</t>
        </is>
      </c>
      <c r="H151" s="10" t="n">
        <v>91.17</v>
      </c>
      <c r="I151" s="10" t="n">
        <v>840</v>
      </c>
      <c r="J151" s="10" t="n">
        <v>1080</v>
      </c>
      <c r="K151" s="12" t="n">
        <v>840</v>
      </c>
      <c r="L151" s="12" t="n">
        <v>0</v>
      </c>
      <c r="M151" s="10" t="inlineStr">
        <is>
          <t>Yes</t>
        </is>
      </c>
      <c r="N151" s="11" t="n">
        <v>17.165</v>
      </c>
      <c r="O151" s="11" t="n">
        <v>23.173</v>
      </c>
      <c r="P151" s="12" t="n">
        <v>60.5</v>
      </c>
    </row>
    <row r="152">
      <c r="B152" s="16" t="inlineStr">
        <is>
          <t>BLR</t>
        </is>
      </c>
      <c r="C152" s="16" t="inlineStr">
        <is>
          <t>VEH-BLR-007</t>
        </is>
      </c>
      <c r="D152" s="16" t="n">
        <v>2</v>
      </c>
      <c r="E152" s="16" t="inlineStr">
        <is>
          <t>ORD-BLR-002154</t>
        </is>
      </c>
      <c r="F152" s="16" t="inlineStr">
        <is>
          <t>AUTOMOTIVE</t>
        </is>
      </c>
      <c r="G152" s="16" t="inlineStr">
        <is>
          <t>Central Bengaluru</t>
        </is>
      </c>
      <c r="H152" s="16" t="n">
        <v>119.88</v>
      </c>
      <c r="I152" s="16" t="n">
        <v>660</v>
      </c>
      <c r="J152" s="16" t="n">
        <v>900</v>
      </c>
      <c r="K152" s="18" t="n">
        <v>874.3</v>
      </c>
      <c r="L152" s="18" t="n">
        <v>0</v>
      </c>
      <c r="M152" s="16" t="inlineStr">
        <is>
          <t>Yes</t>
        </is>
      </c>
      <c r="N152" s="17" t="n">
        <v>5.869</v>
      </c>
      <c r="O152" s="17" t="n">
        <v>7.924</v>
      </c>
      <c r="P152" s="18" t="n">
        <v>21.1</v>
      </c>
    </row>
    <row r="153">
      <c r="B153" s="10" t="inlineStr">
        <is>
          <t>BLR</t>
        </is>
      </c>
      <c r="C153" s="10" t="inlineStr">
        <is>
          <t>VEH-BLR-007</t>
        </is>
      </c>
      <c r="D153" s="10" t="n">
        <v>3</v>
      </c>
      <c r="E153" s="10" t="inlineStr">
        <is>
          <t>ORD-BLR-002144</t>
        </is>
      </c>
      <c r="F153" s="10" t="inlineStr">
        <is>
          <t>AUTOMOTIVE</t>
        </is>
      </c>
      <c r="G153" s="10" t="inlineStr">
        <is>
          <t>Central Bengaluru</t>
        </is>
      </c>
      <c r="H153" s="10" t="n">
        <v>73.13</v>
      </c>
      <c r="I153" s="10" t="n">
        <v>840</v>
      </c>
      <c r="J153" s="10" t="n">
        <v>1080</v>
      </c>
      <c r="K153" s="12" t="n">
        <v>893.2</v>
      </c>
      <c r="L153" s="12" t="n">
        <v>0</v>
      </c>
      <c r="M153" s="10" t="inlineStr">
        <is>
          <t>Yes</t>
        </is>
      </c>
      <c r="N153" s="11" t="n">
        <v>1.326</v>
      </c>
      <c r="O153" s="11" t="n">
        <v>1.79</v>
      </c>
      <c r="P153" s="12" t="n">
        <v>4.8</v>
      </c>
    </row>
    <row r="154">
      <c r="B154" s="16" t="inlineStr">
        <is>
          <t>BLR</t>
        </is>
      </c>
      <c r="C154" s="16" t="inlineStr">
        <is>
          <t>VEH-BLR-007</t>
        </is>
      </c>
      <c r="D154" s="16" t="n">
        <v>4</v>
      </c>
      <c r="E154" s="16" t="inlineStr">
        <is>
          <t>ORD-BLR-002142</t>
        </is>
      </c>
      <c r="F154" s="16" t="inlineStr">
        <is>
          <t>AUTOMOTIVE</t>
        </is>
      </c>
      <c r="G154" s="16" t="inlineStr">
        <is>
          <t>Central Bengaluru</t>
        </is>
      </c>
      <c r="H154" s="16" t="n">
        <v>161.15</v>
      </c>
      <c r="I154" s="16" t="n">
        <v>840</v>
      </c>
      <c r="J154" s="16" t="n">
        <v>1080</v>
      </c>
      <c r="K154" s="18" t="n">
        <v>907.2</v>
      </c>
      <c r="L154" s="18" t="n">
        <v>0</v>
      </c>
      <c r="M154" s="16" t="inlineStr">
        <is>
          <t>Yes</t>
        </is>
      </c>
      <c r="N154" s="17" t="n">
        <v>0.386</v>
      </c>
      <c r="O154" s="17" t="n">
        <v>0.521</v>
      </c>
      <c r="P154" s="18" t="n">
        <v>1.4</v>
      </c>
    </row>
    <row r="155">
      <c r="B155" s="10" t="inlineStr">
        <is>
          <t>BLR</t>
        </is>
      </c>
      <c r="C155" s="10" t="inlineStr">
        <is>
          <t>VEH-BLR-007</t>
        </is>
      </c>
      <c r="D155" s="10" t="n">
        <v>5</v>
      </c>
      <c r="E155" s="10" t="inlineStr">
        <is>
          <t>ORD-BLR-002120</t>
        </is>
      </c>
      <c r="F155" s="10" t="inlineStr">
        <is>
          <t>MODERN_RETAIL</t>
        </is>
      </c>
      <c r="G155" s="10" t="inlineStr">
        <is>
          <t>Central Bengaluru</t>
        </is>
      </c>
      <c r="H155" s="10" t="n">
        <v>125.51</v>
      </c>
      <c r="I155" s="10" t="n">
        <v>840</v>
      </c>
      <c r="J155" s="10" t="n">
        <v>1080</v>
      </c>
      <c r="K155" s="12" t="n">
        <v>929.1</v>
      </c>
      <c r="L155" s="12" t="n">
        <v>0</v>
      </c>
      <c r="M155" s="10" t="inlineStr">
        <is>
          <t>Yes</t>
        </is>
      </c>
      <c r="N155" s="11" t="n">
        <v>1.76</v>
      </c>
      <c r="O155" s="11" t="n">
        <v>2.376</v>
      </c>
      <c r="P155" s="12" t="n">
        <v>6.3</v>
      </c>
    </row>
    <row r="156">
      <c r="B156" s="16" t="inlineStr">
        <is>
          <t>BLR</t>
        </is>
      </c>
      <c r="C156" s="16" t="inlineStr">
        <is>
          <t>VEH-BLR-007</t>
        </is>
      </c>
      <c r="D156" s="16" t="n">
        <v>6</v>
      </c>
      <c r="E156" s="16" t="inlineStr">
        <is>
          <t>ORD-BLR-002114</t>
        </is>
      </c>
      <c r="F156" s="16" t="inlineStr">
        <is>
          <t>MODERN_RETAIL</t>
        </is>
      </c>
      <c r="G156" s="16" t="inlineStr">
        <is>
          <t>Central Bengaluru</t>
        </is>
      </c>
      <c r="H156" s="16" t="n">
        <v>178.22</v>
      </c>
      <c r="I156" s="16" t="n">
        <v>840</v>
      </c>
      <c r="J156" s="16" t="n">
        <v>1080</v>
      </c>
      <c r="K156" s="18" t="n">
        <v>963.9</v>
      </c>
      <c r="L156" s="18" t="n">
        <v>0</v>
      </c>
      <c r="M156" s="16" t="inlineStr">
        <is>
          <t>Yes</t>
        </is>
      </c>
      <c r="N156" s="17" t="n">
        <v>5.671</v>
      </c>
      <c r="O156" s="17" t="n">
        <v>7.656</v>
      </c>
      <c r="P156" s="18" t="n">
        <v>20.4</v>
      </c>
    </row>
    <row r="157">
      <c r="B157" s="10" t="inlineStr">
        <is>
          <t>BLR</t>
        </is>
      </c>
      <c r="C157" s="10" t="inlineStr">
        <is>
          <t>VEH-BLR-007</t>
        </is>
      </c>
      <c r="D157" s="10" t="n">
        <v>7</v>
      </c>
      <c r="E157" s="10" t="inlineStr">
        <is>
          <t>ORD-BLR-002134</t>
        </is>
      </c>
      <c r="F157" s="10" t="inlineStr">
        <is>
          <t>MODERN_RETAIL</t>
        </is>
      </c>
      <c r="G157" s="10" t="inlineStr">
        <is>
          <t>East Bengaluru</t>
        </is>
      </c>
      <c r="H157" s="10" t="n">
        <v>209.88</v>
      </c>
      <c r="I157" s="10" t="n">
        <v>840</v>
      </c>
      <c r="J157" s="10" t="n">
        <v>1080</v>
      </c>
      <c r="K157" s="12" t="n">
        <v>1028</v>
      </c>
      <c r="L157" s="12" t="n">
        <v>0</v>
      </c>
      <c r="M157" s="10" t="inlineStr">
        <is>
          <t>Yes</t>
        </is>
      </c>
      <c r="N157" s="11" t="n">
        <v>13.392</v>
      </c>
      <c r="O157" s="11" t="n">
        <v>18.079</v>
      </c>
      <c r="P157" s="12" t="n">
        <v>47.9</v>
      </c>
    </row>
    <row r="158">
      <c r="B158" s="16" t="inlineStr">
        <is>
          <t>BLR</t>
        </is>
      </c>
      <c r="C158" s="16" t="inlineStr">
        <is>
          <t>VEH-BLR-007</t>
        </is>
      </c>
      <c r="D158" s="16" t="n">
        <v>8</v>
      </c>
      <c r="E158" s="16" t="inlineStr">
        <is>
          <t>ORD-BLR-002023</t>
        </is>
      </c>
      <c r="F158" s="16" t="inlineStr">
        <is>
          <t>ECOM_B2C</t>
        </is>
      </c>
      <c r="G158" s="16" t="inlineStr">
        <is>
          <t>East Bengaluru</t>
        </is>
      </c>
      <c r="H158" s="16" t="n">
        <v>0.51</v>
      </c>
      <c r="I158" s="16" t="n">
        <v>900</v>
      </c>
      <c r="J158" s="16" t="n">
        <v>1080</v>
      </c>
      <c r="K158" s="18" t="n">
        <v>1089.1</v>
      </c>
      <c r="L158" s="18" t="n">
        <v>9.1</v>
      </c>
      <c r="M158" s="16" t="inlineStr">
        <is>
          <t>No</t>
        </is>
      </c>
      <c r="N158" s="17" t="n">
        <v>6.116</v>
      </c>
      <c r="O158" s="17" t="n">
        <v>8.257</v>
      </c>
      <c r="P158" s="18" t="n">
        <v>43.7</v>
      </c>
    </row>
    <row r="159">
      <c r="B159" s="10" t="inlineStr">
        <is>
          <t>BLR</t>
        </is>
      </c>
      <c r="C159" s="10" t="inlineStr">
        <is>
          <t>VEH-BLR-007</t>
        </is>
      </c>
      <c r="D159" s="10" t="n">
        <v>9</v>
      </c>
      <c r="E159" s="10" t="inlineStr">
        <is>
          <t>ORD-BLR-002028</t>
        </is>
      </c>
      <c r="F159" s="10" t="inlineStr">
        <is>
          <t>ECOM_B2C</t>
        </is>
      </c>
      <c r="G159" s="10" t="inlineStr">
        <is>
          <t>East Bengaluru</t>
        </is>
      </c>
      <c r="H159" s="10" t="n">
        <v>1.71</v>
      </c>
      <c r="I159" s="10" t="n">
        <v>900</v>
      </c>
      <c r="J159" s="10" t="n">
        <v>1080</v>
      </c>
      <c r="K159" s="12" t="n">
        <v>1094.6</v>
      </c>
      <c r="L159" s="12" t="n">
        <v>14.6</v>
      </c>
      <c r="M159" s="10" t="inlineStr">
        <is>
          <t>No</t>
        </is>
      </c>
      <c r="N159" s="11" t="n">
        <v>0.21</v>
      </c>
      <c r="O159" s="11" t="n">
        <v>0.283</v>
      </c>
      <c r="P159" s="12" t="n">
        <v>1.5</v>
      </c>
    </row>
    <row r="160">
      <c r="B160" s="16" t="inlineStr">
        <is>
          <t>BLR</t>
        </is>
      </c>
      <c r="C160" s="16" t="inlineStr">
        <is>
          <t>VEH-BLR-007</t>
        </is>
      </c>
      <c r="D160" s="16" t="n">
        <v>10</v>
      </c>
      <c r="E160" s="16" t="inlineStr">
        <is>
          <t>ORD-BLR-002020</t>
        </is>
      </c>
      <c r="F160" s="16" t="inlineStr">
        <is>
          <t>ECOM_B2C</t>
        </is>
      </c>
      <c r="G160" s="16" t="inlineStr">
        <is>
          <t>East Bengaluru</t>
        </is>
      </c>
      <c r="H160" s="16" t="n">
        <v>3.41</v>
      </c>
      <c r="I160" s="16" t="n">
        <v>900</v>
      </c>
      <c r="J160" s="16" t="n">
        <v>1080</v>
      </c>
      <c r="K160" s="18" t="n">
        <v>1102.6</v>
      </c>
      <c r="L160" s="18" t="n">
        <v>22.6</v>
      </c>
      <c r="M160" s="16" t="inlineStr">
        <is>
          <t>No</t>
        </is>
      </c>
      <c r="N160" s="17" t="n">
        <v>0.5659999999999999</v>
      </c>
      <c r="O160" s="17" t="n">
        <v>0.764</v>
      </c>
      <c r="P160" s="18" t="n">
        <v>4</v>
      </c>
    </row>
    <row r="161">
      <c r="B161" s="10" t="inlineStr">
        <is>
          <t>BLR</t>
        </is>
      </c>
      <c r="C161" s="10" t="inlineStr">
        <is>
          <t>VEH-BLR-007</t>
        </is>
      </c>
      <c r="D161" s="10" t="n">
        <v>11</v>
      </c>
      <c r="E161" s="10" t="inlineStr">
        <is>
          <t>ORD-BLR-001980</t>
        </is>
      </c>
      <c r="F161" s="10" t="inlineStr">
        <is>
          <t>ECOM_B2C</t>
        </is>
      </c>
      <c r="G161" s="10" t="inlineStr">
        <is>
          <t>East Bengaluru</t>
        </is>
      </c>
      <c r="H161" s="10" t="n">
        <v>1.97</v>
      </c>
      <c r="I161" s="10" t="n">
        <v>1080</v>
      </c>
      <c r="J161" s="10" t="n">
        <v>1260</v>
      </c>
      <c r="K161" s="12" t="n">
        <v>1106.6</v>
      </c>
      <c r="L161" s="12" t="n">
        <v>0</v>
      </c>
      <c r="M161" s="10" t="inlineStr">
        <is>
          <t>Yes</t>
        </is>
      </c>
      <c r="N161" s="11" t="n">
        <v>0</v>
      </c>
      <c r="O161" s="11" t="n">
        <v>0</v>
      </c>
      <c r="P161" s="12" t="n">
        <v>0</v>
      </c>
    </row>
    <row r="162">
      <c r="B162" s="16" t="inlineStr">
        <is>
          <t>BLR</t>
        </is>
      </c>
      <c r="C162" s="16" t="inlineStr">
        <is>
          <t>VEH-BLR-007</t>
        </is>
      </c>
      <c r="D162" s="16" t="n">
        <v>12</v>
      </c>
      <c r="E162" s="16" t="inlineStr">
        <is>
          <t>ORD-BLR-001976</t>
        </is>
      </c>
      <c r="F162" s="16" t="inlineStr">
        <is>
          <t>ECOM_B2C</t>
        </is>
      </c>
      <c r="G162" s="16" t="inlineStr">
        <is>
          <t>East Bengaluru</t>
        </is>
      </c>
      <c r="H162" s="16" t="n">
        <v>4.5</v>
      </c>
      <c r="I162" s="16" t="n">
        <v>1080</v>
      </c>
      <c r="J162" s="16" t="n">
        <v>1260</v>
      </c>
      <c r="K162" s="18" t="n">
        <v>1111.3</v>
      </c>
      <c r="L162" s="18" t="n">
        <v>0</v>
      </c>
      <c r="M162" s="16" t="inlineStr">
        <is>
          <t>Yes</t>
        </is>
      </c>
      <c r="N162" s="17" t="n">
        <v>0.094</v>
      </c>
      <c r="O162" s="17" t="n">
        <v>0.127</v>
      </c>
      <c r="P162" s="18" t="n">
        <v>0.7</v>
      </c>
    </row>
    <row r="163">
      <c r="B163" s="10" t="inlineStr">
        <is>
          <t>BLR</t>
        </is>
      </c>
      <c r="C163" s="10" t="inlineStr">
        <is>
          <t>VEH-BLR-007</t>
        </is>
      </c>
      <c r="D163" s="10" t="n">
        <v>13</v>
      </c>
      <c r="E163" s="10" t="inlineStr">
        <is>
          <t>ORD-BLR-002044</t>
        </is>
      </c>
      <c r="F163" s="10" t="inlineStr">
        <is>
          <t>ECOM_B2C</t>
        </is>
      </c>
      <c r="G163" s="10" t="inlineStr">
        <is>
          <t>East Bengaluru</t>
        </is>
      </c>
      <c r="H163" s="10" t="n">
        <v>0.92</v>
      </c>
      <c r="I163" s="10" t="n">
        <v>1080</v>
      </c>
      <c r="J163" s="10" t="n">
        <v>1260</v>
      </c>
      <c r="K163" s="12" t="n">
        <v>1123.1</v>
      </c>
      <c r="L163" s="12" t="n">
        <v>0</v>
      </c>
      <c r="M163" s="10" t="inlineStr">
        <is>
          <t>Yes</t>
        </is>
      </c>
      <c r="N163" s="11" t="n">
        <v>1.101</v>
      </c>
      <c r="O163" s="11" t="n">
        <v>1.486</v>
      </c>
      <c r="P163" s="12" t="n">
        <v>7.9</v>
      </c>
    </row>
    <row r="164">
      <c r="B164" s="16" t="inlineStr">
        <is>
          <t>BLR</t>
        </is>
      </c>
      <c r="C164" s="16" t="inlineStr">
        <is>
          <t>VEH-BLR-008</t>
        </is>
      </c>
      <c r="D164" s="16" t="n">
        <v>1</v>
      </c>
      <c r="E164" s="16" t="inlineStr">
        <is>
          <t>ORD-BLR-002145</t>
        </is>
      </c>
      <c r="F164" s="16" t="inlineStr">
        <is>
          <t>AUTOMOTIVE</t>
        </is>
      </c>
      <c r="G164" s="16" t="inlineStr">
        <is>
          <t>North Bengaluru</t>
        </is>
      </c>
      <c r="H164" s="16" t="n">
        <v>56.87</v>
      </c>
      <c r="I164" s="16" t="n">
        <v>480</v>
      </c>
      <c r="J164" s="16" t="n">
        <v>600</v>
      </c>
      <c r="K164" s="18" t="n">
        <v>488.9</v>
      </c>
      <c r="L164" s="18" t="n">
        <v>0</v>
      </c>
      <c r="M164" s="16" t="inlineStr">
        <is>
          <t>Yes</t>
        </is>
      </c>
      <c r="N164" s="17" t="n">
        <v>21.51</v>
      </c>
      <c r="O164" s="17" t="n">
        <v>29.039</v>
      </c>
      <c r="P164" s="18" t="n">
        <v>68.90000000000001</v>
      </c>
    </row>
    <row r="165">
      <c r="B165" s="10" t="inlineStr">
        <is>
          <t>BLR</t>
        </is>
      </c>
      <c r="C165" s="10" t="inlineStr">
        <is>
          <t>VEH-BLR-008</t>
        </is>
      </c>
      <c r="D165" s="10" t="n">
        <v>2</v>
      </c>
      <c r="E165" s="10" t="inlineStr">
        <is>
          <t>ORD-BLR-002150</t>
        </is>
      </c>
      <c r="F165" s="10" t="inlineStr">
        <is>
          <t>AUTOMOTIVE</t>
        </is>
      </c>
      <c r="G165" s="10" t="inlineStr">
        <is>
          <t>West Bengaluru</t>
        </is>
      </c>
      <c r="H165" s="10" t="n">
        <v>134.07</v>
      </c>
      <c r="I165" s="10" t="n">
        <v>480</v>
      </c>
      <c r="J165" s="10" t="n">
        <v>600</v>
      </c>
      <c r="K165" s="12" t="n">
        <v>539.2</v>
      </c>
      <c r="L165" s="12" t="n">
        <v>0</v>
      </c>
      <c r="M165" s="10" t="inlineStr">
        <is>
          <t>Yes</t>
        </is>
      </c>
      <c r="N165" s="11" t="n">
        <v>6.611</v>
      </c>
      <c r="O165" s="11" t="n">
        <v>8.925000000000001</v>
      </c>
      <c r="P165" s="12" t="n">
        <v>38.3</v>
      </c>
    </row>
    <row r="166">
      <c r="B166" s="16" t="inlineStr">
        <is>
          <t>BLR</t>
        </is>
      </c>
      <c r="C166" s="16" t="inlineStr">
        <is>
          <t>VEH-BLR-008</t>
        </is>
      </c>
      <c r="D166" s="16" t="n">
        <v>3</v>
      </c>
      <c r="E166" s="16" t="inlineStr">
        <is>
          <t>ORD-BLR-002119</t>
        </is>
      </c>
      <c r="F166" s="16" t="inlineStr">
        <is>
          <t>MODERN_RETAIL</t>
        </is>
      </c>
      <c r="G166" s="16" t="inlineStr">
        <is>
          <t>West Bengaluru</t>
        </is>
      </c>
      <c r="H166" s="16" t="n">
        <v>174.34</v>
      </c>
      <c r="I166" s="16" t="n">
        <v>600</v>
      </c>
      <c r="J166" s="16" t="n">
        <v>900</v>
      </c>
      <c r="K166" s="18" t="n">
        <v>556.4</v>
      </c>
      <c r="L166" s="18" t="n">
        <v>0</v>
      </c>
      <c r="M166" s="16" t="inlineStr">
        <is>
          <t>Yes</t>
        </is>
      </c>
      <c r="N166" s="17" t="n">
        <v>0.43</v>
      </c>
      <c r="O166" s="17" t="n">
        <v>0.581</v>
      </c>
      <c r="P166" s="18" t="n">
        <v>2.5</v>
      </c>
    </row>
    <row r="167">
      <c r="B167" s="10" t="inlineStr">
        <is>
          <t>BLR</t>
        </is>
      </c>
      <c r="C167" s="10" t="inlineStr">
        <is>
          <t>VEH-BLR-008</t>
        </is>
      </c>
      <c r="D167" s="10" t="n">
        <v>4</v>
      </c>
      <c r="E167" s="10" t="inlineStr">
        <is>
          <t>ORD-BLR-002132</t>
        </is>
      </c>
      <c r="F167" s="10" t="inlineStr">
        <is>
          <t>MODERN_RETAIL</t>
        </is>
      </c>
      <c r="G167" s="10" t="inlineStr">
        <is>
          <t>North Bengaluru</t>
        </is>
      </c>
      <c r="H167" s="10" t="n">
        <v>99.19</v>
      </c>
      <c r="I167" s="10" t="n">
        <v>600</v>
      </c>
      <c r="J167" s="10" t="n">
        <v>900</v>
      </c>
      <c r="K167" s="12" t="n">
        <v>647.6</v>
      </c>
      <c r="L167" s="12" t="n">
        <v>0</v>
      </c>
      <c r="M167" s="10" t="inlineStr">
        <is>
          <t>Yes</t>
        </is>
      </c>
      <c r="N167" s="11" t="n">
        <v>5.455</v>
      </c>
      <c r="O167" s="11" t="n">
        <v>7.364</v>
      </c>
      <c r="P167" s="12" t="n">
        <v>31.5</v>
      </c>
    </row>
    <row r="168">
      <c r="B168" s="16" t="inlineStr">
        <is>
          <t>BLR</t>
        </is>
      </c>
      <c r="C168" s="16" t="inlineStr">
        <is>
          <t>VEH-BLR-008</t>
        </is>
      </c>
      <c r="D168" s="16" t="n">
        <v>5</v>
      </c>
      <c r="E168" s="16" t="inlineStr">
        <is>
          <t>ORD-BLR-002153</t>
        </is>
      </c>
      <c r="F168" s="16" t="inlineStr">
        <is>
          <t>AUTOMOTIVE</t>
        </is>
      </c>
      <c r="G168" s="16" t="inlineStr">
        <is>
          <t>North Bengaluru</t>
        </is>
      </c>
      <c r="H168" s="16" t="n">
        <v>40.42</v>
      </c>
      <c r="I168" s="16" t="n">
        <v>660</v>
      </c>
      <c r="J168" s="16" t="n">
        <v>900</v>
      </c>
      <c r="K168" s="18" t="n">
        <v>664</v>
      </c>
      <c r="L168" s="18" t="n">
        <v>0</v>
      </c>
      <c r="M168" s="16" t="inlineStr">
        <is>
          <t>Yes</t>
        </is>
      </c>
      <c r="N168" s="17" t="n">
        <v>0.851</v>
      </c>
      <c r="O168" s="17" t="n">
        <v>1.148</v>
      </c>
      <c r="P168" s="18" t="n">
        <v>3</v>
      </c>
    </row>
    <row r="169">
      <c r="B169" s="10" t="inlineStr">
        <is>
          <t>BLR</t>
        </is>
      </c>
      <c r="C169" s="10" t="inlineStr">
        <is>
          <t>VEH-BLR-008</t>
        </is>
      </c>
      <c r="D169" s="10" t="n">
        <v>6</v>
      </c>
      <c r="E169" s="10" t="inlineStr">
        <is>
          <t>ORD-BLR-002138</t>
        </is>
      </c>
      <c r="F169" s="10" t="inlineStr">
        <is>
          <t>AUTOMOTIVE</t>
        </is>
      </c>
      <c r="G169" s="10" t="inlineStr">
        <is>
          <t>North Bengaluru</t>
        </is>
      </c>
      <c r="H169" s="10" t="n">
        <v>161.53</v>
      </c>
      <c r="I169" s="10" t="n">
        <v>660</v>
      </c>
      <c r="J169" s="10" t="n">
        <v>900</v>
      </c>
      <c r="K169" s="12" t="n">
        <v>701.6</v>
      </c>
      <c r="L169" s="12" t="n">
        <v>0</v>
      </c>
      <c r="M169" s="10" t="inlineStr">
        <is>
          <t>Yes</t>
        </is>
      </c>
      <c r="N169" s="11" t="n">
        <v>7.425</v>
      </c>
      <c r="O169" s="11" t="n">
        <v>10.023</v>
      </c>
      <c r="P169" s="12" t="n">
        <v>26.2</v>
      </c>
    </row>
    <row r="170">
      <c r="B170" s="16" t="inlineStr">
        <is>
          <t>BLR</t>
        </is>
      </c>
      <c r="C170" s="16" t="inlineStr">
        <is>
          <t>VEH-BLR-008</t>
        </is>
      </c>
      <c r="D170" s="16" t="n">
        <v>7</v>
      </c>
      <c r="E170" s="16" t="inlineStr">
        <is>
          <t>ORD-BLR-002151</t>
        </is>
      </c>
      <c r="F170" s="16" t="inlineStr">
        <is>
          <t>AUTOMOTIVE</t>
        </is>
      </c>
      <c r="G170" s="16" t="inlineStr">
        <is>
          <t>North Bengaluru</t>
        </is>
      </c>
      <c r="H170" s="16" t="n">
        <v>22.17</v>
      </c>
      <c r="I170" s="16" t="n">
        <v>480</v>
      </c>
      <c r="J170" s="16" t="n">
        <v>720</v>
      </c>
      <c r="K170" s="18" t="n">
        <v>717.3</v>
      </c>
      <c r="L170" s="18" t="n">
        <v>0</v>
      </c>
      <c r="M170" s="16" t="inlineStr">
        <is>
          <t>Yes</t>
        </is>
      </c>
      <c r="N170" s="17" t="n">
        <v>0</v>
      </c>
      <c r="O170" s="17" t="n">
        <v>0</v>
      </c>
      <c r="P170" s="18" t="n">
        <v>0</v>
      </c>
    </row>
    <row r="171">
      <c r="B171" s="10" t="inlineStr">
        <is>
          <t>BLR</t>
        </is>
      </c>
      <c r="C171" s="10" t="inlineStr">
        <is>
          <t>VEH-BLR-008</t>
        </is>
      </c>
      <c r="D171" s="10" t="n">
        <v>8</v>
      </c>
      <c r="E171" s="10" t="inlineStr">
        <is>
          <t>ORD-BLR-002149</t>
        </is>
      </c>
      <c r="F171" s="10" t="inlineStr">
        <is>
          <t>AUTOMOTIVE</t>
        </is>
      </c>
      <c r="G171" s="10" t="inlineStr">
        <is>
          <t>North Bengaluru</t>
        </is>
      </c>
      <c r="H171" s="10" t="n">
        <v>100.01</v>
      </c>
      <c r="I171" s="10" t="n">
        <v>660</v>
      </c>
      <c r="J171" s="10" t="n">
        <v>780</v>
      </c>
      <c r="K171" s="12" t="n">
        <v>728.1</v>
      </c>
      <c r="L171" s="12" t="n">
        <v>0</v>
      </c>
      <c r="M171" s="10" t="inlineStr">
        <is>
          <t>Yes</t>
        </is>
      </c>
      <c r="N171" s="11" t="n">
        <v>0</v>
      </c>
      <c r="O171" s="11" t="n">
        <v>0</v>
      </c>
      <c r="P171" s="12" t="n">
        <v>0</v>
      </c>
    </row>
    <row r="172">
      <c r="B172" s="16" t="inlineStr">
        <is>
          <t>BLR</t>
        </is>
      </c>
      <c r="C172" s="16" t="inlineStr">
        <is>
          <t>VEH-BLR-008</t>
        </is>
      </c>
      <c r="D172" s="16" t="n">
        <v>9</v>
      </c>
      <c r="E172" s="16" t="inlineStr">
        <is>
          <t>ORD-BLR-002143</t>
        </is>
      </c>
      <c r="F172" s="16" t="inlineStr">
        <is>
          <t>AUTOMOTIVE</t>
        </is>
      </c>
      <c r="G172" s="16" t="inlineStr">
        <is>
          <t>North Bengaluru</t>
        </is>
      </c>
      <c r="H172" s="16" t="n">
        <v>79.78</v>
      </c>
      <c r="I172" s="16" t="n">
        <v>660</v>
      </c>
      <c r="J172" s="16" t="n">
        <v>900</v>
      </c>
      <c r="K172" s="18" t="n">
        <v>769.9</v>
      </c>
      <c r="L172" s="18" t="n">
        <v>0</v>
      </c>
      <c r="M172" s="16" t="inlineStr">
        <is>
          <t>Yes</t>
        </is>
      </c>
      <c r="N172" s="17" t="n">
        <v>8.039999999999999</v>
      </c>
      <c r="O172" s="17" t="n">
        <v>10.854</v>
      </c>
      <c r="P172" s="18" t="n">
        <v>28.3</v>
      </c>
    </row>
    <row r="173">
      <c r="B173" s="10" t="inlineStr">
        <is>
          <t>BLR</t>
        </is>
      </c>
      <c r="C173" s="10" t="inlineStr">
        <is>
          <t>VEH-BLR-010</t>
        </is>
      </c>
      <c r="D173" s="10" t="n">
        <v>1</v>
      </c>
      <c r="E173" s="10" t="inlineStr">
        <is>
          <t>ORD-BLR-002117</t>
        </is>
      </c>
      <c r="F173" s="10" t="inlineStr">
        <is>
          <t>MODERN_RETAIL</t>
        </is>
      </c>
      <c r="G173" s="10" t="inlineStr">
        <is>
          <t>East Bengaluru</t>
        </is>
      </c>
      <c r="H173" s="10" t="n">
        <v>178.75</v>
      </c>
      <c r="I173" s="10" t="n">
        <v>480</v>
      </c>
      <c r="J173" s="10" t="n">
        <v>720</v>
      </c>
      <c r="K173" s="12" t="n">
        <v>459.6</v>
      </c>
      <c r="L173" s="12" t="n">
        <v>0</v>
      </c>
      <c r="M173" s="10" t="inlineStr">
        <is>
          <t>Yes</t>
        </is>
      </c>
      <c r="N173" s="11" t="n">
        <v>12.2</v>
      </c>
      <c r="O173" s="11" t="n">
        <v>16.47</v>
      </c>
      <c r="P173" s="12" t="n">
        <v>39.6</v>
      </c>
    </row>
    <row r="174">
      <c r="B174" s="16" t="inlineStr">
        <is>
          <t>BLR</t>
        </is>
      </c>
      <c r="C174" s="16" t="inlineStr">
        <is>
          <t>VEH-BLR-010</t>
        </is>
      </c>
      <c r="D174" s="16" t="n">
        <v>2</v>
      </c>
      <c r="E174" s="16" t="inlineStr">
        <is>
          <t>ORD-BLR-002141</t>
        </is>
      </c>
      <c r="F174" s="16" t="inlineStr">
        <is>
          <t>AUTOMOTIVE</t>
        </is>
      </c>
      <c r="G174" s="16" t="inlineStr">
        <is>
          <t>East Bengaluru</t>
        </is>
      </c>
      <c r="H174" s="16" t="n">
        <v>68.70999999999999</v>
      </c>
      <c r="I174" s="16" t="n">
        <v>480</v>
      </c>
      <c r="J174" s="16" t="n">
        <v>720</v>
      </c>
      <c r="K174" s="18" t="n">
        <v>500.4</v>
      </c>
      <c r="L174" s="18" t="n">
        <v>0</v>
      </c>
      <c r="M174" s="16" t="inlineStr">
        <is>
          <t>Yes</t>
        </is>
      </c>
      <c r="N174" s="17" t="n">
        <v>0.708</v>
      </c>
      <c r="O174" s="17" t="n">
        <v>0.955</v>
      </c>
      <c r="P174" s="18" t="n">
        <v>4.1</v>
      </c>
    </row>
    <row r="175">
      <c r="B175" s="10" t="inlineStr">
        <is>
          <t>BLR</t>
        </is>
      </c>
      <c r="C175" s="10" t="inlineStr">
        <is>
          <t>VEH-BLR-010</t>
        </is>
      </c>
      <c r="D175" s="10" t="n">
        <v>3</v>
      </c>
      <c r="E175" s="10" t="inlineStr">
        <is>
          <t>ORD-BLR-002002</t>
        </is>
      </c>
      <c r="F175" s="10" t="inlineStr">
        <is>
          <t>ECOM_B2C</t>
        </is>
      </c>
      <c r="G175" s="10" t="inlineStr">
        <is>
          <t>East Bengaluru</t>
        </is>
      </c>
      <c r="H175" s="10" t="n">
        <v>2.27</v>
      </c>
      <c r="I175" s="10" t="n">
        <v>540</v>
      </c>
      <c r="J175" s="10" t="n">
        <v>720</v>
      </c>
      <c r="K175" s="12" t="n">
        <v>555.3</v>
      </c>
      <c r="L175" s="12" t="n">
        <v>0</v>
      </c>
      <c r="M175" s="10" t="inlineStr">
        <is>
          <t>Yes</t>
        </is>
      </c>
      <c r="N175" s="11" t="n">
        <v>7.274</v>
      </c>
      <c r="O175" s="11" t="n">
        <v>9.82</v>
      </c>
      <c r="P175" s="12" t="n">
        <v>42.5</v>
      </c>
    </row>
    <row r="176">
      <c r="B176" s="16" t="inlineStr">
        <is>
          <t>BLR</t>
        </is>
      </c>
      <c r="C176" s="16" t="inlineStr">
        <is>
          <t>VEH-BLR-010</t>
        </is>
      </c>
      <c r="D176" s="16" t="n">
        <v>4</v>
      </c>
      <c r="E176" s="16" t="inlineStr">
        <is>
          <t>ORD-BLR-002115</t>
        </is>
      </c>
      <c r="F176" s="16" t="inlineStr">
        <is>
          <t>MODERN_RETAIL</t>
        </is>
      </c>
      <c r="G176" s="16" t="inlineStr">
        <is>
          <t>East Bengaluru</t>
        </is>
      </c>
      <c r="H176" s="16" t="n">
        <v>49.91</v>
      </c>
      <c r="I176" s="16" t="n">
        <v>480</v>
      </c>
      <c r="J176" s="16" t="n">
        <v>720</v>
      </c>
      <c r="K176" s="18" t="n">
        <v>591.3</v>
      </c>
      <c r="L176" s="18" t="n">
        <v>0</v>
      </c>
      <c r="M176" s="16" t="inlineStr">
        <is>
          <t>Yes</t>
        </is>
      </c>
      <c r="N176" s="17" t="n">
        <v>5.462</v>
      </c>
      <c r="O176" s="17" t="n">
        <v>7.374</v>
      </c>
      <c r="P176" s="18" t="n">
        <v>32</v>
      </c>
    </row>
    <row r="177">
      <c r="B177" s="10" t="inlineStr">
        <is>
          <t>BLR</t>
        </is>
      </c>
      <c r="C177" s="10" t="inlineStr">
        <is>
          <t>VEH-BLR-010</t>
        </is>
      </c>
      <c r="D177" s="10" t="n">
        <v>5</v>
      </c>
      <c r="E177" s="10" t="inlineStr">
        <is>
          <t>ORD-BLR-002130</t>
        </is>
      </c>
      <c r="F177" s="10" t="inlineStr">
        <is>
          <t>MODERN_RETAIL</t>
        </is>
      </c>
      <c r="G177" s="10" t="inlineStr">
        <is>
          <t>South Bengaluru</t>
        </is>
      </c>
      <c r="H177" s="10" t="n">
        <v>150.28</v>
      </c>
      <c r="I177" s="10" t="n">
        <v>480</v>
      </c>
      <c r="J177" s="10" t="n">
        <v>720</v>
      </c>
      <c r="K177" s="12" t="n">
        <v>679.5</v>
      </c>
      <c r="L177" s="12" t="n">
        <v>0</v>
      </c>
      <c r="M177" s="10" t="inlineStr">
        <is>
          <t>Yes</t>
        </is>
      </c>
      <c r="N177" s="11" t="n">
        <v>13.201</v>
      </c>
      <c r="O177" s="11" t="n">
        <v>17.821</v>
      </c>
      <c r="P177" s="12" t="n">
        <v>76.5</v>
      </c>
    </row>
    <row r="178">
      <c r="B178" s="16" t="inlineStr">
        <is>
          <t>BLR</t>
        </is>
      </c>
      <c r="C178" s="16" t="inlineStr">
        <is>
          <t>VEH-BLR-010</t>
        </is>
      </c>
      <c r="D178" s="16" t="n">
        <v>6</v>
      </c>
      <c r="E178" s="16" t="inlineStr">
        <is>
          <t>ORD-BLR-002135</t>
        </is>
      </c>
      <c r="F178" s="16" t="inlineStr">
        <is>
          <t>AUTOMOTIVE</t>
        </is>
      </c>
      <c r="G178" s="16" t="inlineStr">
        <is>
          <t>South Bengaluru</t>
        </is>
      </c>
      <c r="H178" s="16" t="n">
        <v>60.22</v>
      </c>
      <c r="I178" s="16" t="n">
        <v>660</v>
      </c>
      <c r="J178" s="16" t="n">
        <v>900</v>
      </c>
      <c r="K178" s="18" t="n">
        <v>696.5</v>
      </c>
      <c r="L178" s="18" t="n">
        <v>0</v>
      </c>
      <c r="M178" s="16" t="inlineStr">
        <is>
          <t>Yes</t>
        </is>
      </c>
      <c r="N178" s="17" t="n">
        <v>0.491</v>
      </c>
      <c r="O178" s="17" t="n">
        <v>0.663</v>
      </c>
      <c r="P178" s="18" t="n">
        <v>1.7</v>
      </c>
    </row>
    <row r="179">
      <c r="B179" s="10" t="inlineStr">
        <is>
          <t>BLR</t>
        </is>
      </c>
      <c r="C179" s="10" t="inlineStr">
        <is>
          <t>VEH-BLR-010</t>
        </is>
      </c>
      <c r="D179" s="10" t="n">
        <v>7</v>
      </c>
      <c r="E179" s="10" t="inlineStr">
        <is>
          <t>ORD-BLR-002116</t>
        </is>
      </c>
      <c r="F179" s="10" t="inlineStr">
        <is>
          <t>MODERN_RETAIL</t>
        </is>
      </c>
      <c r="G179" s="10" t="inlineStr">
        <is>
          <t>South Bengaluru</t>
        </is>
      </c>
      <c r="H179" s="10" t="n">
        <v>200.77</v>
      </c>
      <c r="I179" s="10" t="n">
        <v>600</v>
      </c>
      <c r="J179" s="10" t="n">
        <v>900</v>
      </c>
      <c r="K179" s="12" t="n">
        <v>710.1</v>
      </c>
      <c r="L179" s="12" t="n">
        <v>0</v>
      </c>
      <c r="M179" s="10" t="inlineStr">
        <is>
          <t>Yes</t>
        </is>
      </c>
      <c r="N179" s="11" t="n">
        <v>0.397</v>
      </c>
      <c r="O179" s="11" t="n">
        <v>0.535</v>
      </c>
      <c r="P179" s="12" t="n">
        <v>1.4</v>
      </c>
    </row>
    <row r="180">
      <c r="B180" s="16" t="inlineStr">
        <is>
          <t>BLR</t>
        </is>
      </c>
      <c r="C180" s="16" t="inlineStr">
        <is>
          <t>VEH-BLR-010</t>
        </is>
      </c>
      <c r="D180" s="16" t="n">
        <v>8</v>
      </c>
      <c r="E180" s="16" t="inlineStr">
        <is>
          <t>ORD-BLR-002131</t>
        </is>
      </c>
      <c r="F180" s="16" t="inlineStr">
        <is>
          <t>MODERN_RETAIL</t>
        </is>
      </c>
      <c r="G180" s="16" t="inlineStr">
        <is>
          <t>South Bengaluru</t>
        </is>
      </c>
      <c r="H180" s="16" t="n">
        <v>161.78</v>
      </c>
      <c r="I180" s="16" t="n">
        <v>840</v>
      </c>
      <c r="J180" s="16" t="n">
        <v>1080</v>
      </c>
      <c r="K180" s="18" t="n">
        <v>727.1</v>
      </c>
      <c r="L180" s="18" t="n">
        <v>0</v>
      </c>
      <c r="M180" s="16" t="inlineStr">
        <is>
          <t>Yes</t>
        </is>
      </c>
      <c r="N180" s="17" t="n">
        <v>0</v>
      </c>
      <c r="O180" s="17" t="n">
        <v>0</v>
      </c>
      <c r="P180" s="18" t="n">
        <v>0</v>
      </c>
    </row>
    <row r="181">
      <c r="B181" s="10" t="inlineStr">
        <is>
          <t>BLR</t>
        </is>
      </c>
      <c r="C181" s="10" t="inlineStr">
        <is>
          <t>VEH-BLR-010</t>
        </is>
      </c>
      <c r="D181" s="10" t="n">
        <v>9</v>
      </c>
      <c r="E181" s="10" t="inlineStr">
        <is>
          <t>ORD-BLR-002146</t>
        </is>
      </c>
      <c r="F181" s="10" t="inlineStr">
        <is>
          <t>AUTOMOTIVE</t>
        </is>
      </c>
      <c r="G181" s="10" t="inlineStr">
        <is>
          <t>East Bengaluru</t>
        </is>
      </c>
      <c r="H181" s="10" t="n">
        <v>46</v>
      </c>
      <c r="I181" s="10" t="n">
        <v>840</v>
      </c>
      <c r="J181" s="10" t="n">
        <v>960</v>
      </c>
      <c r="K181" s="12" t="n">
        <v>921.5</v>
      </c>
      <c r="L181" s="12" t="n">
        <v>0</v>
      </c>
      <c r="M181" s="10" t="inlineStr">
        <is>
          <t>Yes</t>
        </is>
      </c>
      <c r="N181" s="11" t="n">
        <v>18.424</v>
      </c>
      <c r="O181" s="11" t="n">
        <v>24.872</v>
      </c>
      <c r="P181" s="12" t="n">
        <v>65.90000000000001</v>
      </c>
    </row>
    <row r="182">
      <c r="B182" s="16" t="inlineStr">
        <is>
          <t>BLR</t>
        </is>
      </c>
      <c r="C182" s="16" t="inlineStr">
        <is>
          <t>VEH-BLR-012</t>
        </is>
      </c>
      <c r="D182" s="16" t="n">
        <v>1</v>
      </c>
      <c r="E182" s="16" t="inlineStr">
        <is>
          <t>ORD-BLR-002046</t>
        </is>
      </c>
      <c r="F182" s="16" t="inlineStr">
        <is>
          <t>ECOM_B2C</t>
        </is>
      </c>
      <c r="G182" s="16" t="inlineStr">
        <is>
          <t>South Bengaluru</t>
        </is>
      </c>
      <c r="H182" s="16" t="n">
        <v>5.64</v>
      </c>
      <c r="I182" s="16" t="n">
        <v>600</v>
      </c>
      <c r="J182" s="16" t="n">
        <v>720</v>
      </c>
      <c r="K182" s="18" t="n">
        <v>600</v>
      </c>
      <c r="L182" s="18" t="n">
        <v>0</v>
      </c>
      <c r="M182" s="16" t="inlineStr">
        <is>
          <t>Yes</t>
        </is>
      </c>
      <c r="N182" s="17" t="n">
        <v>10.159</v>
      </c>
      <c r="O182" s="17" t="n">
        <v>13.715</v>
      </c>
      <c r="P182" s="18" t="n">
        <v>58.9</v>
      </c>
    </row>
    <row r="183">
      <c r="B183" s="10" t="inlineStr">
        <is>
          <t>BLR</t>
        </is>
      </c>
      <c r="C183" s="10" t="inlineStr">
        <is>
          <t>VEH-BLR-012</t>
        </is>
      </c>
      <c r="D183" s="10" t="n">
        <v>2</v>
      </c>
      <c r="E183" s="10" t="inlineStr">
        <is>
          <t>ORD-BLR-001965</t>
        </is>
      </c>
      <c r="F183" s="10" t="inlineStr">
        <is>
          <t>ECOM_B2C</t>
        </is>
      </c>
      <c r="G183" s="10" t="inlineStr">
        <is>
          <t>South Bengaluru</t>
        </is>
      </c>
      <c r="H183" s="10" t="n">
        <v>4.16</v>
      </c>
      <c r="I183" s="10" t="n">
        <v>540</v>
      </c>
      <c r="J183" s="10" t="n">
        <v>720</v>
      </c>
      <c r="K183" s="12" t="n">
        <v>609</v>
      </c>
      <c r="L183" s="12" t="n">
        <v>0</v>
      </c>
      <c r="M183" s="10" t="inlineStr">
        <is>
          <t>Yes</t>
        </is>
      </c>
      <c r="N183" s="11" t="n">
        <v>0.871</v>
      </c>
      <c r="O183" s="11" t="n">
        <v>1.176</v>
      </c>
      <c r="P183" s="12" t="n">
        <v>5</v>
      </c>
    </row>
    <row r="184">
      <c r="B184" s="16" t="inlineStr">
        <is>
          <t>BLR</t>
        </is>
      </c>
      <c r="C184" s="16" t="inlineStr">
        <is>
          <t>VEH-BLR-012</t>
        </is>
      </c>
      <c r="D184" s="16" t="n">
        <v>3</v>
      </c>
      <c r="E184" s="16" t="inlineStr">
        <is>
          <t>ORD-BLR-001968</t>
        </is>
      </c>
      <c r="F184" s="16" t="inlineStr">
        <is>
          <t>ECOM_B2C</t>
        </is>
      </c>
      <c r="G184" s="16" t="inlineStr">
        <is>
          <t>South Bengaluru</t>
        </is>
      </c>
      <c r="H184" s="16" t="n">
        <v>2.29</v>
      </c>
      <c r="I184" s="16" t="n">
        <v>540</v>
      </c>
      <c r="J184" s="16" t="n">
        <v>720</v>
      </c>
      <c r="K184" s="18" t="n">
        <v>619.3</v>
      </c>
      <c r="L184" s="18" t="n">
        <v>0</v>
      </c>
      <c r="M184" s="16" t="inlineStr">
        <is>
          <t>Yes</t>
        </is>
      </c>
      <c r="N184" s="17" t="n">
        <v>1.071</v>
      </c>
      <c r="O184" s="17" t="n">
        <v>1.446</v>
      </c>
      <c r="P184" s="18" t="n">
        <v>6.2</v>
      </c>
    </row>
    <row r="185">
      <c r="B185" s="10" t="inlineStr">
        <is>
          <t>BLR</t>
        </is>
      </c>
      <c r="C185" s="10" t="inlineStr">
        <is>
          <t>VEH-BLR-012</t>
        </is>
      </c>
      <c r="D185" s="10" t="n">
        <v>4</v>
      </c>
      <c r="E185" s="10" t="inlineStr">
        <is>
          <t>ORD-BLR-002008</t>
        </is>
      </c>
      <c r="F185" s="10" t="inlineStr">
        <is>
          <t>ECOM_B2C</t>
        </is>
      </c>
      <c r="G185" s="10" t="inlineStr">
        <is>
          <t>South Bengaluru</t>
        </is>
      </c>
      <c r="H185" s="10" t="n">
        <v>3.97</v>
      </c>
      <c r="I185" s="10" t="n">
        <v>540</v>
      </c>
      <c r="J185" s="10" t="n">
        <v>720</v>
      </c>
      <c r="K185" s="12" t="n">
        <v>625.6</v>
      </c>
      <c r="L185" s="12" t="n">
        <v>0</v>
      </c>
      <c r="M185" s="10" t="inlineStr">
        <is>
          <t>Yes</t>
        </is>
      </c>
      <c r="N185" s="11" t="n">
        <v>0.399</v>
      </c>
      <c r="O185" s="11" t="n">
        <v>0.538</v>
      </c>
      <c r="P185" s="12" t="n">
        <v>2.3</v>
      </c>
    </row>
    <row r="186">
      <c r="B186" s="16" t="inlineStr">
        <is>
          <t>BLR</t>
        </is>
      </c>
      <c r="C186" s="16" t="inlineStr">
        <is>
          <t>VEH-BLR-012</t>
        </is>
      </c>
      <c r="D186" s="16" t="n">
        <v>5</v>
      </c>
      <c r="E186" s="16" t="inlineStr">
        <is>
          <t>ORD-BLR-001975</t>
        </is>
      </c>
      <c r="F186" s="16" t="inlineStr">
        <is>
          <t>ECOM_B2C</t>
        </is>
      </c>
      <c r="G186" s="16" t="inlineStr">
        <is>
          <t>South Bengaluru</t>
        </is>
      </c>
      <c r="H186" s="16" t="n">
        <v>9.6</v>
      </c>
      <c r="I186" s="16" t="n">
        <v>540</v>
      </c>
      <c r="J186" s="16" t="n">
        <v>720</v>
      </c>
      <c r="K186" s="18" t="n">
        <v>634.1</v>
      </c>
      <c r="L186" s="18" t="n">
        <v>0</v>
      </c>
      <c r="M186" s="16" t="inlineStr">
        <is>
          <t>Yes</t>
        </is>
      </c>
      <c r="N186" s="17" t="n">
        <v>0.791</v>
      </c>
      <c r="O186" s="17" t="n">
        <v>1.067</v>
      </c>
      <c r="P186" s="18" t="n">
        <v>4.6</v>
      </c>
    </row>
    <row r="187">
      <c r="B187" s="10" t="inlineStr">
        <is>
          <t>BLR</t>
        </is>
      </c>
      <c r="C187" s="10" t="inlineStr">
        <is>
          <t>VEH-BLR-012</t>
        </is>
      </c>
      <c r="D187" s="10" t="n">
        <v>6</v>
      </c>
      <c r="E187" s="10" t="inlineStr">
        <is>
          <t>ORD-BLR-001991</t>
        </is>
      </c>
      <c r="F187" s="10" t="inlineStr">
        <is>
          <t>ECOM_B2C</t>
        </is>
      </c>
      <c r="G187" s="10" t="inlineStr">
        <is>
          <t>South Bengaluru</t>
        </is>
      </c>
      <c r="H187" s="10" t="n">
        <v>0.51</v>
      </c>
      <c r="I187" s="10" t="n">
        <v>540</v>
      </c>
      <c r="J187" s="10" t="n">
        <v>720</v>
      </c>
      <c r="K187" s="12" t="n">
        <v>690.8</v>
      </c>
      <c r="L187" s="12" t="n">
        <v>0</v>
      </c>
      <c r="M187" s="10" t="inlineStr">
        <is>
          <t>Yes</t>
        </is>
      </c>
      <c r="N187" s="11" t="n">
        <v>9.085000000000001</v>
      </c>
      <c r="O187" s="11" t="n">
        <v>12.265</v>
      </c>
      <c r="P187" s="12" t="n">
        <v>52.6</v>
      </c>
    </row>
    <row r="188">
      <c r="B188" s="16" t="inlineStr">
        <is>
          <t>BLR</t>
        </is>
      </c>
      <c r="C188" s="16" t="inlineStr">
        <is>
          <t>VEH-BLR-012</t>
        </is>
      </c>
      <c r="D188" s="16" t="n">
        <v>7</v>
      </c>
      <c r="E188" s="16" t="inlineStr">
        <is>
          <t>ORD-BLR-001950</t>
        </is>
      </c>
      <c r="F188" s="16" t="inlineStr">
        <is>
          <t>ECOM_B2C</t>
        </is>
      </c>
      <c r="G188" s="16" t="inlineStr">
        <is>
          <t>South Bengaluru</t>
        </is>
      </c>
      <c r="H188" s="16" t="n">
        <v>2.5</v>
      </c>
      <c r="I188" s="16" t="n">
        <v>720</v>
      </c>
      <c r="J188" s="16" t="n">
        <v>900</v>
      </c>
      <c r="K188" s="18" t="n">
        <v>694.8</v>
      </c>
      <c r="L188" s="18" t="n">
        <v>0</v>
      </c>
      <c r="M188" s="16" t="inlineStr">
        <is>
          <t>Yes</t>
        </is>
      </c>
      <c r="N188" s="17" t="n">
        <v>0</v>
      </c>
      <c r="O188" s="17" t="n">
        <v>0</v>
      </c>
      <c r="P188" s="18" t="n">
        <v>0</v>
      </c>
    </row>
    <row r="189">
      <c r="B189" s="10" t="inlineStr">
        <is>
          <t>BLR</t>
        </is>
      </c>
      <c r="C189" s="10" t="inlineStr">
        <is>
          <t>VEH-BLR-012</t>
        </is>
      </c>
      <c r="D189" s="10" t="n">
        <v>8</v>
      </c>
      <c r="E189" s="10" t="inlineStr">
        <is>
          <t>ORD-BLR-002030</t>
        </is>
      </c>
      <c r="F189" s="10" t="inlineStr">
        <is>
          <t>ECOM_B2C</t>
        </is>
      </c>
      <c r="G189" s="10" t="inlineStr">
        <is>
          <t>South Bengaluru</t>
        </is>
      </c>
      <c r="H189" s="10" t="n">
        <v>1.32</v>
      </c>
      <c r="I189" s="10" t="n">
        <v>720</v>
      </c>
      <c r="J189" s="10" t="n">
        <v>900</v>
      </c>
      <c r="K189" s="12" t="n">
        <v>731.9</v>
      </c>
      <c r="L189" s="12" t="n">
        <v>0</v>
      </c>
      <c r="M189" s="10" t="inlineStr">
        <is>
          <t>Yes</t>
        </is>
      </c>
      <c r="N189" s="11" t="n">
        <v>2.243</v>
      </c>
      <c r="O189" s="11" t="n">
        <v>3.028</v>
      </c>
      <c r="P189" s="12" t="n">
        <v>7.9</v>
      </c>
    </row>
    <row r="190">
      <c r="B190" s="16" t="inlineStr">
        <is>
          <t>BLR</t>
        </is>
      </c>
      <c r="C190" s="16" t="inlineStr">
        <is>
          <t>VEH-BLR-012</t>
        </is>
      </c>
      <c r="D190" s="16" t="n">
        <v>9</v>
      </c>
      <c r="E190" s="16" t="inlineStr">
        <is>
          <t>ORD-BLR-001977</t>
        </is>
      </c>
      <c r="F190" s="16" t="inlineStr">
        <is>
          <t>ECOM_B2C</t>
        </is>
      </c>
      <c r="G190" s="16" t="inlineStr">
        <is>
          <t>South Bengaluru</t>
        </is>
      </c>
      <c r="H190" s="16" t="n">
        <v>3.33</v>
      </c>
      <c r="I190" s="16" t="n">
        <v>720</v>
      </c>
      <c r="J190" s="16" t="n">
        <v>900</v>
      </c>
      <c r="K190" s="18" t="n">
        <v>738.2</v>
      </c>
      <c r="L190" s="18" t="n">
        <v>0</v>
      </c>
      <c r="M190" s="16" t="inlineStr">
        <is>
          <t>Yes</t>
        </is>
      </c>
      <c r="N190" s="17" t="n">
        <v>0.629</v>
      </c>
      <c r="O190" s="17" t="n">
        <v>0.849</v>
      </c>
      <c r="P190" s="18" t="n">
        <v>2.2</v>
      </c>
    </row>
    <row r="191">
      <c r="B191" s="10" t="inlineStr">
        <is>
          <t>BLR</t>
        </is>
      </c>
      <c r="C191" s="10" t="inlineStr">
        <is>
          <t>VEH-BLR-012</t>
        </is>
      </c>
      <c r="D191" s="10" t="n">
        <v>10</v>
      </c>
      <c r="E191" s="10" t="inlineStr">
        <is>
          <t>ORD-BLR-002067</t>
        </is>
      </c>
      <c r="F191" s="10" t="inlineStr">
        <is>
          <t>ECOM_B2C</t>
        </is>
      </c>
      <c r="G191" s="10" t="inlineStr">
        <is>
          <t>South Bengaluru</t>
        </is>
      </c>
      <c r="H191" s="10" t="n">
        <v>2.15</v>
      </c>
      <c r="I191" s="10" t="n">
        <v>720</v>
      </c>
      <c r="J191" s="10" t="n">
        <v>900</v>
      </c>
      <c r="K191" s="12" t="n">
        <v>742.4</v>
      </c>
      <c r="L191" s="12" t="n">
        <v>0</v>
      </c>
      <c r="M191" s="10" t="inlineStr">
        <is>
          <t>Yes</t>
        </is>
      </c>
      <c r="N191" s="11" t="n">
        <v>0.076</v>
      </c>
      <c r="O191" s="11" t="n">
        <v>0.103</v>
      </c>
      <c r="P191" s="12" t="n">
        <v>0.3</v>
      </c>
    </row>
    <row r="192">
      <c r="B192" s="16" t="inlineStr">
        <is>
          <t>BLR</t>
        </is>
      </c>
      <c r="C192" s="16" t="inlineStr">
        <is>
          <t>VEH-BLR-012</t>
        </is>
      </c>
      <c r="D192" s="16" t="n">
        <v>11</v>
      </c>
      <c r="E192" s="16" t="inlineStr">
        <is>
          <t>ORD-BLR-001945</t>
        </is>
      </c>
      <c r="F192" s="16" t="inlineStr">
        <is>
          <t>ECOM_B2C</t>
        </is>
      </c>
      <c r="G192" s="16" t="inlineStr">
        <is>
          <t>South Bengaluru</t>
        </is>
      </c>
      <c r="H192" s="16" t="n">
        <v>7.1</v>
      </c>
      <c r="I192" s="16" t="n">
        <v>720</v>
      </c>
      <c r="J192" s="16" t="n">
        <v>900</v>
      </c>
      <c r="K192" s="18" t="n">
        <v>747.5</v>
      </c>
      <c r="L192" s="18" t="n">
        <v>0</v>
      </c>
      <c r="M192" s="16" t="inlineStr">
        <is>
          <t>Yes</t>
        </is>
      </c>
      <c r="N192" s="17" t="n">
        <v>0.3</v>
      </c>
      <c r="O192" s="17" t="n">
        <v>0.406</v>
      </c>
      <c r="P192" s="18" t="n">
        <v>1.1</v>
      </c>
    </row>
    <row r="193">
      <c r="B193" s="10" t="inlineStr">
        <is>
          <t>BLR</t>
        </is>
      </c>
      <c r="C193" s="10" t="inlineStr">
        <is>
          <t>VEH-BLR-012</t>
        </is>
      </c>
      <c r="D193" s="10" t="n">
        <v>12</v>
      </c>
      <c r="E193" s="10" t="inlineStr">
        <is>
          <t>ORD-BLR-001952</t>
        </is>
      </c>
      <c r="F193" s="10" t="inlineStr">
        <is>
          <t>ECOM_B2C</t>
        </is>
      </c>
      <c r="G193" s="10" t="inlineStr">
        <is>
          <t>South Bengaluru</t>
        </is>
      </c>
      <c r="H193" s="10" t="n">
        <v>3.84</v>
      </c>
      <c r="I193" s="10" t="n">
        <v>720</v>
      </c>
      <c r="J193" s="10" t="n">
        <v>900</v>
      </c>
      <c r="K193" s="12" t="n">
        <v>755.2</v>
      </c>
      <c r="L193" s="12" t="n">
        <v>0</v>
      </c>
      <c r="M193" s="10" t="inlineStr">
        <is>
          <t>Yes</t>
        </is>
      </c>
      <c r="N193" s="11" t="n">
        <v>1.042</v>
      </c>
      <c r="O193" s="11" t="n">
        <v>1.407</v>
      </c>
      <c r="P193" s="12" t="n">
        <v>3.7</v>
      </c>
    </row>
    <row r="194">
      <c r="B194" s="16" t="inlineStr">
        <is>
          <t>BLR</t>
        </is>
      </c>
      <c r="C194" s="16" t="inlineStr">
        <is>
          <t>VEH-BLR-012</t>
        </is>
      </c>
      <c r="D194" s="16" t="n">
        <v>13</v>
      </c>
      <c r="E194" s="16" t="inlineStr">
        <is>
          <t>ORD-BLR-001955</t>
        </is>
      </c>
      <c r="F194" s="16" t="inlineStr">
        <is>
          <t>ECOM_B2C</t>
        </is>
      </c>
      <c r="G194" s="16" t="inlineStr">
        <is>
          <t>South Bengaluru</t>
        </is>
      </c>
      <c r="H194" s="16" t="n">
        <v>11.43</v>
      </c>
      <c r="I194" s="16" t="n">
        <v>720</v>
      </c>
      <c r="J194" s="16" t="n">
        <v>900</v>
      </c>
      <c r="K194" s="18" t="n">
        <v>762.1</v>
      </c>
      <c r="L194" s="18" t="n">
        <v>0</v>
      </c>
      <c r="M194" s="16" t="inlineStr">
        <is>
          <t>Yes</t>
        </is>
      </c>
      <c r="N194" s="17" t="n">
        <v>0.83</v>
      </c>
      <c r="O194" s="17" t="n">
        <v>1.12</v>
      </c>
      <c r="P194" s="18" t="n">
        <v>2.9</v>
      </c>
    </row>
    <row r="195">
      <c r="B195" s="10" t="inlineStr">
        <is>
          <t>BLR</t>
        </is>
      </c>
      <c r="C195" s="10" t="inlineStr">
        <is>
          <t>VEH-BLR-012</t>
        </is>
      </c>
      <c r="D195" s="10" t="n">
        <v>14</v>
      </c>
      <c r="E195" s="10" t="inlineStr">
        <is>
          <t>ORD-BLR-002003</t>
        </is>
      </c>
      <c r="F195" s="10" t="inlineStr">
        <is>
          <t>ECOM_B2C</t>
        </is>
      </c>
      <c r="G195" s="10" t="inlineStr">
        <is>
          <t>South Bengaluru</t>
        </is>
      </c>
      <c r="H195" s="10" t="n">
        <v>0.55</v>
      </c>
      <c r="I195" s="10" t="n">
        <v>720</v>
      </c>
      <c r="J195" s="10" t="n">
        <v>900</v>
      </c>
      <c r="K195" s="12" t="n">
        <v>772.5</v>
      </c>
      <c r="L195" s="12" t="n">
        <v>0</v>
      </c>
      <c r="M195" s="10" t="inlineStr">
        <is>
          <t>Yes</t>
        </is>
      </c>
      <c r="N195" s="11" t="n">
        <v>1.794</v>
      </c>
      <c r="O195" s="11" t="n">
        <v>2.422</v>
      </c>
      <c r="P195" s="12" t="n">
        <v>6.4</v>
      </c>
    </row>
    <row r="196">
      <c r="B196" s="16" t="inlineStr">
        <is>
          <t>BLR</t>
        </is>
      </c>
      <c r="C196" s="16" t="inlineStr">
        <is>
          <t>VEH-BLR-013</t>
        </is>
      </c>
      <c r="D196" s="16" t="n">
        <v>1</v>
      </c>
      <c r="E196" s="16" t="inlineStr">
        <is>
          <t>ORD-BLR-001974</t>
        </is>
      </c>
      <c r="F196" s="16" t="inlineStr">
        <is>
          <t>ECOM_B2C</t>
        </is>
      </c>
      <c r="G196" s="16" t="inlineStr">
        <is>
          <t>South Bengaluru</t>
        </is>
      </c>
      <c r="H196" s="16" t="n">
        <v>1.51</v>
      </c>
      <c r="I196" s="16" t="n">
        <v>900</v>
      </c>
      <c r="J196" s="16" t="n">
        <v>1080</v>
      </c>
      <c r="K196" s="18" t="n">
        <v>900</v>
      </c>
      <c r="L196" s="18" t="n">
        <v>0</v>
      </c>
      <c r="M196" s="16" t="inlineStr">
        <is>
          <t>Yes</t>
        </is>
      </c>
      <c r="N196" s="17" t="n">
        <v>2.224</v>
      </c>
      <c r="O196" s="17" t="n">
        <v>3.002</v>
      </c>
      <c r="P196" s="18" t="n">
        <v>7.9</v>
      </c>
    </row>
    <row r="197">
      <c r="B197" s="10" t="inlineStr">
        <is>
          <t>BLR</t>
        </is>
      </c>
      <c r="C197" s="10" t="inlineStr">
        <is>
          <t>VEH-BLR-013</t>
        </is>
      </c>
      <c r="D197" s="10" t="n">
        <v>2</v>
      </c>
      <c r="E197" s="10" t="inlineStr">
        <is>
          <t>ORD-BLR-002068</t>
        </is>
      </c>
      <c r="F197" s="10" t="inlineStr">
        <is>
          <t>ECOM_B2C</t>
        </is>
      </c>
      <c r="G197" s="10" t="inlineStr">
        <is>
          <t>South Bengaluru</t>
        </is>
      </c>
      <c r="H197" s="10" t="n">
        <v>12.64</v>
      </c>
      <c r="I197" s="10" t="n">
        <v>900</v>
      </c>
      <c r="J197" s="10" t="n">
        <v>1080</v>
      </c>
      <c r="K197" s="12" t="n">
        <v>904.9</v>
      </c>
      <c r="L197" s="12" t="n">
        <v>0</v>
      </c>
      <c r="M197" s="10" t="inlineStr">
        <is>
          <t>Yes</t>
        </is>
      </c>
      <c r="N197" s="11" t="n">
        <v>0.244</v>
      </c>
      <c r="O197" s="11" t="n">
        <v>0.33</v>
      </c>
      <c r="P197" s="12" t="n">
        <v>0.9</v>
      </c>
    </row>
    <row r="198">
      <c r="B198" s="16" t="inlineStr">
        <is>
          <t>BLR</t>
        </is>
      </c>
      <c r="C198" s="16" t="inlineStr">
        <is>
          <t>VEH-BLR-013</t>
        </is>
      </c>
      <c r="D198" s="16" t="n">
        <v>3</v>
      </c>
      <c r="E198" s="16" t="inlineStr">
        <is>
          <t>ORD-BLR-001981</t>
        </is>
      </c>
      <c r="F198" s="16" t="inlineStr">
        <is>
          <t>ECOM_B2C</t>
        </is>
      </c>
      <c r="G198" s="16" t="inlineStr">
        <is>
          <t>South Bengaluru</t>
        </is>
      </c>
      <c r="H198" s="16" t="n">
        <v>9.23</v>
      </c>
      <c r="I198" s="16" t="n">
        <v>900</v>
      </c>
      <c r="J198" s="16" t="n">
        <v>1080</v>
      </c>
      <c r="K198" s="18" t="n">
        <v>913.5</v>
      </c>
      <c r="L198" s="18" t="n">
        <v>0</v>
      </c>
      <c r="M198" s="16" t="inlineStr">
        <is>
          <t>Yes</t>
        </is>
      </c>
      <c r="N198" s="17" t="n">
        <v>1.301</v>
      </c>
      <c r="O198" s="17" t="n">
        <v>1.756</v>
      </c>
      <c r="P198" s="18" t="n">
        <v>4.6</v>
      </c>
    </row>
    <row r="199">
      <c r="B199" s="10" t="inlineStr">
        <is>
          <t>BLR</t>
        </is>
      </c>
      <c r="C199" s="10" t="inlineStr">
        <is>
          <t>VEH-BLR-013</t>
        </is>
      </c>
      <c r="D199" s="10" t="n">
        <v>4</v>
      </c>
      <c r="E199" s="10" t="inlineStr">
        <is>
          <t>ORD-BLR-002004</t>
        </is>
      </c>
      <c r="F199" s="10" t="inlineStr">
        <is>
          <t>ECOM_B2C</t>
        </is>
      </c>
      <c r="G199" s="10" t="inlineStr">
        <is>
          <t>South Bengaluru</t>
        </is>
      </c>
      <c r="H199" s="10" t="n">
        <v>4.72</v>
      </c>
      <c r="I199" s="10" t="n">
        <v>900</v>
      </c>
      <c r="J199" s="10" t="n">
        <v>1080</v>
      </c>
      <c r="K199" s="12" t="n">
        <v>917.5</v>
      </c>
      <c r="L199" s="12" t="n">
        <v>0</v>
      </c>
      <c r="M199" s="10" t="inlineStr">
        <is>
          <t>Yes</t>
        </is>
      </c>
      <c r="N199" s="11" t="n">
        <v>0</v>
      </c>
      <c r="O199" s="11" t="n">
        <v>0</v>
      </c>
      <c r="P199" s="12" t="n">
        <v>0</v>
      </c>
    </row>
    <row r="200">
      <c r="B200" s="16" t="inlineStr">
        <is>
          <t>BLR</t>
        </is>
      </c>
      <c r="C200" s="16" t="inlineStr">
        <is>
          <t>VEH-BLR-013</t>
        </is>
      </c>
      <c r="D200" s="16" t="n">
        <v>5</v>
      </c>
      <c r="E200" s="16" t="inlineStr">
        <is>
          <t>ORD-BLR-001948</t>
        </is>
      </c>
      <c r="F200" s="16" t="inlineStr">
        <is>
          <t>ECOM_B2C</t>
        </is>
      </c>
      <c r="G200" s="16" t="inlineStr">
        <is>
          <t>Central Bengaluru</t>
        </is>
      </c>
      <c r="H200" s="16" t="n">
        <v>4.32</v>
      </c>
      <c r="I200" s="16" t="n">
        <v>900</v>
      </c>
      <c r="J200" s="16" t="n">
        <v>1080</v>
      </c>
      <c r="K200" s="18" t="n">
        <v>944.2</v>
      </c>
      <c r="L200" s="18" t="n">
        <v>0</v>
      </c>
      <c r="M200" s="16" t="inlineStr">
        <is>
          <t>Yes</t>
        </is>
      </c>
      <c r="N200" s="17" t="n">
        <v>6.328</v>
      </c>
      <c r="O200" s="17" t="n">
        <v>8.542</v>
      </c>
      <c r="P200" s="18" t="n">
        <v>22.7</v>
      </c>
    </row>
    <row r="201">
      <c r="B201" s="10" t="inlineStr">
        <is>
          <t>BLR</t>
        </is>
      </c>
      <c r="C201" s="10" t="inlineStr">
        <is>
          <t>VEH-BLR-013</t>
        </is>
      </c>
      <c r="D201" s="10" t="n">
        <v>6</v>
      </c>
      <c r="E201" s="10" t="inlineStr">
        <is>
          <t>ORD-BLR-001988</t>
        </is>
      </c>
      <c r="F201" s="10" t="inlineStr">
        <is>
          <t>ECOM_B2C</t>
        </is>
      </c>
      <c r="G201" s="10" t="inlineStr">
        <is>
          <t>Central Bengaluru</t>
        </is>
      </c>
      <c r="H201" s="10" t="n">
        <v>9.66</v>
      </c>
      <c r="I201" s="10" t="n">
        <v>1080</v>
      </c>
      <c r="J201" s="10" t="n">
        <v>1260</v>
      </c>
      <c r="K201" s="12" t="n">
        <v>948.2</v>
      </c>
      <c r="L201" s="12" t="n">
        <v>0</v>
      </c>
      <c r="M201" s="10" t="inlineStr">
        <is>
          <t>Yes</t>
        </is>
      </c>
      <c r="N201" s="11" t="n">
        <v>0</v>
      </c>
      <c r="O201" s="11" t="n">
        <v>0</v>
      </c>
      <c r="P201" s="12" t="n">
        <v>0</v>
      </c>
    </row>
    <row r="202">
      <c r="B202" s="16" t="inlineStr">
        <is>
          <t>BLR</t>
        </is>
      </c>
      <c r="C202" s="16" t="inlineStr">
        <is>
          <t>VEH-BLR-013</t>
        </is>
      </c>
      <c r="D202" s="16" t="n">
        <v>7</v>
      </c>
      <c r="E202" s="16" t="inlineStr">
        <is>
          <t>ORD-BLR-002054</t>
        </is>
      </c>
      <c r="F202" s="16" t="inlineStr">
        <is>
          <t>ECOM_B2C</t>
        </is>
      </c>
      <c r="G202" s="16" t="inlineStr">
        <is>
          <t>Central Bengaluru</t>
        </is>
      </c>
      <c r="H202" s="16" t="n">
        <v>2.04</v>
      </c>
      <c r="I202" s="16" t="n">
        <v>1080</v>
      </c>
      <c r="J202" s="16" t="n">
        <v>1260</v>
      </c>
      <c r="K202" s="18" t="n">
        <v>1089</v>
      </c>
      <c r="L202" s="18" t="n">
        <v>0</v>
      </c>
      <c r="M202" s="16" t="inlineStr">
        <is>
          <t>Yes</t>
        </is>
      </c>
      <c r="N202" s="17" t="n">
        <v>0.696</v>
      </c>
      <c r="O202" s="17" t="n">
        <v>0.9399999999999999</v>
      </c>
      <c r="P202" s="18" t="n">
        <v>5</v>
      </c>
    </row>
    <row r="203">
      <c r="B203" s="10" t="inlineStr">
        <is>
          <t>BLR</t>
        </is>
      </c>
      <c r="C203" s="10" t="inlineStr">
        <is>
          <t>VEH-BLR-013</t>
        </is>
      </c>
      <c r="D203" s="10" t="n">
        <v>8</v>
      </c>
      <c r="E203" s="10" t="inlineStr">
        <is>
          <t>ORD-BLR-002058</t>
        </is>
      </c>
      <c r="F203" s="10" t="inlineStr">
        <is>
          <t>ECOM_B2C</t>
        </is>
      </c>
      <c r="G203" s="10" t="inlineStr">
        <is>
          <t>Central Bengaluru</t>
        </is>
      </c>
      <c r="H203" s="10" t="n">
        <v>1.42</v>
      </c>
      <c r="I203" s="10" t="n">
        <v>1080</v>
      </c>
      <c r="J203" s="10" t="n">
        <v>1200</v>
      </c>
      <c r="K203" s="12" t="n">
        <v>1096.5</v>
      </c>
      <c r="L203" s="12" t="n">
        <v>0</v>
      </c>
      <c r="M203" s="10" t="inlineStr">
        <is>
          <t>Yes</t>
        </is>
      </c>
      <c r="N203" s="11" t="n">
        <v>0.49</v>
      </c>
      <c r="O203" s="11" t="n">
        <v>0.662</v>
      </c>
      <c r="P203" s="12" t="n">
        <v>3.5</v>
      </c>
    </row>
    <row r="204">
      <c r="B204" s="16" t="inlineStr">
        <is>
          <t>BLR</t>
        </is>
      </c>
      <c r="C204" s="16" t="inlineStr">
        <is>
          <t>VEH-BLR-013</t>
        </is>
      </c>
      <c r="D204" s="16" t="n">
        <v>9</v>
      </c>
      <c r="E204" s="16" t="inlineStr">
        <is>
          <t>ORD-BLR-001995</t>
        </is>
      </c>
      <c r="F204" s="16" t="inlineStr">
        <is>
          <t>ECOM_B2C</t>
        </is>
      </c>
      <c r="G204" s="16" t="inlineStr">
        <is>
          <t>Central Bengaluru</t>
        </is>
      </c>
      <c r="H204" s="16" t="n">
        <v>7.89</v>
      </c>
      <c r="I204" s="16" t="n">
        <v>1080</v>
      </c>
      <c r="J204" s="16" t="n">
        <v>1200</v>
      </c>
      <c r="K204" s="18" t="n">
        <v>1110.4</v>
      </c>
      <c r="L204" s="18" t="n">
        <v>0</v>
      </c>
      <c r="M204" s="16" t="inlineStr">
        <is>
          <t>Yes</t>
        </is>
      </c>
      <c r="N204" s="17" t="n">
        <v>1.379</v>
      </c>
      <c r="O204" s="17" t="n">
        <v>1.861</v>
      </c>
      <c r="P204" s="18" t="n">
        <v>9.9</v>
      </c>
    </row>
    <row r="205">
      <c r="B205" s="10" t="inlineStr">
        <is>
          <t>BLR</t>
        </is>
      </c>
      <c r="C205" s="10" t="inlineStr">
        <is>
          <t>VEH-BLR-013</t>
        </is>
      </c>
      <c r="D205" s="10" t="n">
        <v>10</v>
      </c>
      <c r="E205" s="10" t="inlineStr">
        <is>
          <t>ORD-BLR-002071</t>
        </is>
      </c>
      <c r="F205" s="10" t="inlineStr">
        <is>
          <t>ECOM_B2C</t>
        </is>
      </c>
      <c r="G205" s="10" t="inlineStr">
        <is>
          <t>East Bengaluru</t>
        </is>
      </c>
      <c r="H205" s="10" t="n">
        <v>5.61</v>
      </c>
      <c r="I205" s="10" t="n">
        <v>1080</v>
      </c>
      <c r="J205" s="10" t="n">
        <v>1260</v>
      </c>
      <c r="K205" s="12" t="n">
        <v>1132.7</v>
      </c>
      <c r="L205" s="12" t="n">
        <v>0</v>
      </c>
      <c r="M205" s="10" t="inlineStr">
        <is>
          <t>Yes</t>
        </is>
      </c>
      <c r="N205" s="11" t="n">
        <v>2.551</v>
      </c>
      <c r="O205" s="11" t="n">
        <v>3.444</v>
      </c>
      <c r="P205" s="12" t="n">
        <v>18.2</v>
      </c>
    </row>
    <row r="206">
      <c r="B206" s="16" t="inlineStr">
        <is>
          <t>BLR</t>
        </is>
      </c>
      <c r="C206" s="16" t="inlineStr">
        <is>
          <t>VEH-BLR-013</t>
        </is>
      </c>
      <c r="D206" s="16" t="n">
        <v>11</v>
      </c>
      <c r="E206" s="16" t="inlineStr">
        <is>
          <t>ORD-BLR-002065</t>
        </is>
      </c>
      <c r="F206" s="16" t="inlineStr">
        <is>
          <t>ECOM_B2C</t>
        </is>
      </c>
      <c r="G206" s="16" t="inlineStr">
        <is>
          <t>East Bengaluru</t>
        </is>
      </c>
      <c r="H206" s="16" t="n">
        <v>2.22</v>
      </c>
      <c r="I206" s="16" t="n">
        <v>1080</v>
      </c>
      <c r="J206" s="16" t="n">
        <v>1260</v>
      </c>
      <c r="K206" s="18" t="n">
        <v>1141.8</v>
      </c>
      <c r="L206" s="18" t="n">
        <v>0</v>
      </c>
      <c r="M206" s="16" t="inlineStr">
        <is>
          <t>Yes</t>
        </is>
      </c>
      <c r="N206" s="17" t="n">
        <v>0.718</v>
      </c>
      <c r="O206" s="17" t="n">
        <v>0.97</v>
      </c>
      <c r="P206" s="18" t="n">
        <v>5.1</v>
      </c>
    </row>
    <row r="207">
      <c r="B207" s="10" t="inlineStr">
        <is>
          <t>BLR</t>
        </is>
      </c>
      <c r="C207" s="10" t="inlineStr">
        <is>
          <t>VEH-BLR-013</t>
        </is>
      </c>
      <c r="D207" s="10" t="n">
        <v>12</v>
      </c>
      <c r="E207" s="10" t="inlineStr">
        <is>
          <t>ORD-BLR-001963</t>
        </is>
      </c>
      <c r="F207" s="10" t="inlineStr">
        <is>
          <t>ECOM_B2C</t>
        </is>
      </c>
      <c r="G207" s="10" t="inlineStr">
        <is>
          <t>East Bengaluru</t>
        </is>
      </c>
      <c r="H207" s="10" t="n">
        <v>2.13</v>
      </c>
      <c r="I207" s="10" t="n">
        <v>1080</v>
      </c>
      <c r="J207" s="10" t="n">
        <v>1260</v>
      </c>
      <c r="K207" s="12" t="n">
        <v>1150.7</v>
      </c>
      <c r="L207" s="12" t="n">
        <v>0</v>
      </c>
      <c r="M207" s="10" t="inlineStr">
        <is>
          <t>Yes</t>
        </is>
      </c>
      <c r="N207" s="11" t="n">
        <v>0.6909999999999999</v>
      </c>
      <c r="O207" s="11" t="n">
        <v>0.9320000000000001</v>
      </c>
      <c r="P207" s="12" t="n">
        <v>4.9</v>
      </c>
    </row>
    <row r="208">
      <c r="B208" s="16" t="inlineStr">
        <is>
          <t>BLR</t>
        </is>
      </c>
      <c r="C208" s="16" t="inlineStr">
        <is>
          <t>VEH-BLR-013</t>
        </is>
      </c>
      <c r="D208" s="16" t="n">
        <v>13</v>
      </c>
      <c r="E208" s="16" t="inlineStr">
        <is>
          <t>ORD-BLR-001998</t>
        </is>
      </c>
      <c r="F208" s="16" t="inlineStr">
        <is>
          <t>ECOM_B2C</t>
        </is>
      </c>
      <c r="G208" s="16" t="inlineStr">
        <is>
          <t>East Bengaluru</t>
        </is>
      </c>
      <c r="H208" s="16" t="n">
        <v>7.33</v>
      </c>
      <c r="I208" s="16" t="n">
        <v>1080</v>
      </c>
      <c r="J208" s="16" t="n">
        <v>1260</v>
      </c>
      <c r="K208" s="18" t="n">
        <v>1159.1</v>
      </c>
      <c r="L208" s="18" t="n">
        <v>0</v>
      </c>
      <c r="M208" s="16" t="inlineStr">
        <is>
          <t>Yes</t>
        </is>
      </c>
      <c r="N208" s="17" t="n">
        <v>0.617</v>
      </c>
      <c r="O208" s="17" t="n">
        <v>0.833</v>
      </c>
      <c r="P208" s="18" t="n">
        <v>4.4</v>
      </c>
    </row>
    <row r="209">
      <c r="B209" s="10" t="inlineStr">
        <is>
          <t>BLR</t>
        </is>
      </c>
      <c r="C209" s="10" t="inlineStr">
        <is>
          <t>VEH-BLR-013</t>
        </is>
      </c>
      <c r="D209" s="10" t="n">
        <v>14</v>
      </c>
      <c r="E209" s="10" t="inlineStr">
        <is>
          <t>ORD-BLR-002018</t>
        </is>
      </c>
      <c r="F209" s="10" t="inlineStr">
        <is>
          <t>ECOM_B2C</t>
        </is>
      </c>
      <c r="G209" s="10" t="inlineStr">
        <is>
          <t>East Bengaluru</t>
        </is>
      </c>
      <c r="H209" s="10" t="n">
        <v>0.62</v>
      </c>
      <c r="I209" s="10" t="n">
        <v>1080</v>
      </c>
      <c r="J209" s="10" t="n">
        <v>1260</v>
      </c>
      <c r="K209" s="12" t="n">
        <v>1171.4</v>
      </c>
      <c r="L209" s="12" t="n">
        <v>0</v>
      </c>
      <c r="M209" s="10" t="inlineStr">
        <is>
          <t>Yes</t>
        </is>
      </c>
      <c r="N209" s="11" t="n">
        <v>1.159</v>
      </c>
      <c r="O209" s="11" t="n">
        <v>1.564</v>
      </c>
      <c r="P209" s="12" t="n">
        <v>8.300000000000001</v>
      </c>
    </row>
    <row r="210">
      <c r="B210" s="16" t="inlineStr">
        <is>
          <t>BLR</t>
        </is>
      </c>
      <c r="C210" s="16" t="inlineStr">
        <is>
          <t>VEH-BLR-013</t>
        </is>
      </c>
      <c r="D210" s="16" t="n">
        <v>15</v>
      </c>
      <c r="E210" s="16" t="inlineStr">
        <is>
          <t>ORD-BLR-002066</t>
        </is>
      </c>
      <c r="F210" s="16" t="inlineStr">
        <is>
          <t>ECOM_B2C</t>
        </is>
      </c>
      <c r="G210" s="16" t="inlineStr">
        <is>
          <t>East Bengaluru</t>
        </is>
      </c>
      <c r="H210" s="16" t="n">
        <v>13.71</v>
      </c>
      <c r="I210" s="16" t="n">
        <v>1080</v>
      </c>
      <c r="J210" s="16" t="n">
        <v>1260</v>
      </c>
      <c r="K210" s="18" t="n">
        <v>1175.4</v>
      </c>
      <c r="L210" s="18" t="n">
        <v>0</v>
      </c>
      <c r="M210" s="16" t="inlineStr">
        <is>
          <t>Yes</t>
        </is>
      </c>
      <c r="N210" s="17" t="n">
        <v>0</v>
      </c>
      <c r="O210" s="17" t="n">
        <v>0</v>
      </c>
      <c r="P210" s="18" t="n">
        <v>0</v>
      </c>
    </row>
    <row r="211">
      <c r="B211" s="10" t="inlineStr">
        <is>
          <t>BLR</t>
        </is>
      </c>
      <c r="C211" s="10" t="inlineStr">
        <is>
          <t>VEH-BLR-013</t>
        </is>
      </c>
      <c r="D211" s="10" t="n">
        <v>16</v>
      </c>
      <c r="E211" s="10" t="inlineStr">
        <is>
          <t>ORD-BLR-002025</t>
        </is>
      </c>
      <c r="F211" s="10" t="inlineStr">
        <is>
          <t>ECOM_B2C</t>
        </is>
      </c>
      <c r="G211" s="10" t="inlineStr">
        <is>
          <t>South Bengaluru</t>
        </is>
      </c>
      <c r="H211" s="10" t="n">
        <v>12.82</v>
      </c>
      <c r="I211" s="10" t="n">
        <v>1080</v>
      </c>
      <c r="J211" s="10" t="n">
        <v>1260</v>
      </c>
      <c r="K211" s="12" t="n">
        <v>1222.5</v>
      </c>
      <c r="L211" s="12" t="n">
        <v>0</v>
      </c>
      <c r="M211" s="10" t="inlineStr">
        <is>
          <t>Yes</t>
        </is>
      </c>
      <c r="N211" s="11" t="n">
        <v>6.076</v>
      </c>
      <c r="O211" s="11" t="n">
        <v>8.202999999999999</v>
      </c>
      <c r="P211" s="12" t="n">
        <v>43</v>
      </c>
    </row>
    <row r="212">
      <c r="B212" s="16" t="inlineStr">
        <is>
          <t>BLR</t>
        </is>
      </c>
      <c r="C212" s="16" t="inlineStr">
        <is>
          <t>VEH-BLR-013</t>
        </is>
      </c>
      <c r="D212" s="16" t="n">
        <v>17</v>
      </c>
      <c r="E212" s="16" t="inlineStr">
        <is>
          <t>ORD-BLR-002053</t>
        </is>
      </c>
      <c r="F212" s="16" t="inlineStr">
        <is>
          <t>ECOM_B2C</t>
        </is>
      </c>
      <c r="G212" s="16" t="inlineStr">
        <is>
          <t>South Bengaluru</t>
        </is>
      </c>
      <c r="H212" s="16" t="n">
        <v>1.21</v>
      </c>
      <c r="I212" s="16" t="n">
        <v>1080</v>
      </c>
      <c r="J212" s="16" t="n">
        <v>1260</v>
      </c>
      <c r="K212" s="18" t="n">
        <v>1236.6</v>
      </c>
      <c r="L212" s="18" t="n">
        <v>0</v>
      </c>
      <c r="M212" s="16" t="inlineStr">
        <is>
          <t>Yes</t>
        </is>
      </c>
      <c r="N212" s="17" t="n">
        <v>1.429</v>
      </c>
      <c r="O212" s="17" t="n">
        <v>1.929</v>
      </c>
      <c r="P212" s="18" t="n">
        <v>10.1</v>
      </c>
    </row>
    <row r="213">
      <c r="B213" s="10" t="inlineStr">
        <is>
          <t>BLR</t>
        </is>
      </c>
      <c r="C213" s="10" t="inlineStr">
        <is>
          <t>VEH-BLR-014</t>
        </is>
      </c>
      <c r="D213" s="10" t="n">
        <v>1</v>
      </c>
      <c r="E213" s="10" t="inlineStr">
        <is>
          <t>ORD-BLR-001999</t>
        </is>
      </c>
      <c r="F213" s="10" t="inlineStr">
        <is>
          <t>ECOM_B2C</t>
        </is>
      </c>
      <c r="G213" s="10" t="inlineStr">
        <is>
          <t>South Bengaluru</t>
        </is>
      </c>
      <c r="H213" s="10" t="n">
        <v>1.24</v>
      </c>
      <c r="I213" s="10" t="n">
        <v>540</v>
      </c>
      <c r="J213" s="10" t="n">
        <v>720</v>
      </c>
      <c r="K213" s="12" t="n">
        <v>540</v>
      </c>
      <c r="L213" s="12" t="n">
        <v>0</v>
      </c>
      <c r="M213" s="10" t="inlineStr">
        <is>
          <t>Yes</t>
        </is>
      </c>
      <c r="N213" s="11" t="n">
        <v>2.557</v>
      </c>
      <c r="O213" s="11" t="n">
        <v>3.452</v>
      </c>
      <c r="P213" s="12" t="n">
        <v>14.8</v>
      </c>
    </row>
    <row r="214">
      <c r="B214" s="16" t="inlineStr">
        <is>
          <t>BLR</t>
        </is>
      </c>
      <c r="C214" s="16" t="inlineStr">
        <is>
          <t>VEH-BLR-014</t>
        </is>
      </c>
      <c r="D214" s="16" t="n">
        <v>2</v>
      </c>
      <c r="E214" s="16" t="inlineStr">
        <is>
          <t>ORD-BLR-002064</t>
        </is>
      </c>
      <c r="F214" s="16" t="inlineStr">
        <is>
          <t>ECOM_B2C</t>
        </is>
      </c>
      <c r="G214" s="16" t="inlineStr">
        <is>
          <t>South Bengaluru</t>
        </is>
      </c>
      <c r="H214" s="16" t="n">
        <v>0.23</v>
      </c>
      <c r="I214" s="16" t="n">
        <v>540</v>
      </c>
      <c r="J214" s="16" t="n">
        <v>720</v>
      </c>
      <c r="K214" s="18" t="n">
        <v>556</v>
      </c>
      <c r="L214" s="18" t="n">
        <v>0</v>
      </c>
      <c r="M214" s="16" t="inlineStr">
        <is>
          <t>Yes</t>
        </is>
      </c>
      <c r="N214" s="17" t="n">
        <v>2.066</v>
      </c>
      <c r="O214" s="17" t="n">
        <v>2.789</v>
      </c>
      <c r="P214" s="18" t="n">
        <v>12</v>
      </c>
    </row>
    <row r="215">
      <c r="B215" s="10" t="inlineStr">
        <is>
          <t>BLR</t>
        </is>
      </c>
      <c r="C215" s="10" t="inlineStr">
        <is>
          <t>VEH-BLR-014</t>
        </is>
      </c>
      <c r="D215" s="10" t="n">
        <v>3</v>
      </c>
      <c r="E215" s="10" t="inlineStr">
        <is>
          <t>ORD-BLR-001954</t>
        </is>
      </c>
      <c r="F215" s="10" t="inlineStr">
        <is>
          <t>ECOM_B2C</t>
        </is>
      </c>
      <c r="G215" s="10" t="inlineStr">
        <is>
          <t>South Bengaluru</t>
        </is>
      </c>
      <c r="H215" s="10" t="n">
        <v>2.55</v>
      </c>
      <c r="I215" s="10" t="n">
        <v>540</v>
      </c>
      <c r="J215" s="10" t="n">
        <v>720</v>
      </c>
      <c r="K215" s="12" t="n">
        <v>563.6</v>
      </c>
      <c r="L215" s="12" t="n">
        <v>0</v>
      </c>
      <c r="M215" s="10" t="inlineStr">
        <is>
          <t>Yes</t>
        </is>
      </c>
      <c r="N215" s="11" t="n">
        <v>0.62</v>
      </c>
      <c r="O215" s="11" t="n">
        <v>0.837</v>
      </c>
      <c r="P215" s="12" t="n">
        <v>3.6</v>
      </c>
    </row>
    <row r="216">
      <c r="B216" s="16" t="inlineStr">
        <is>
          <t>BLR</t>
        </is>
      </c>
      <c r="C216" s="16" t="inlineStr">
        <is>
          <t>VEH-BLR-014</t>
        </is>
      </c>
      <c r="D216" s="16" t="n">
        <v>4</v>
      </c>
      <c r="E216" s="16" t="inlineStr">
        <is>
          <t>ORD-BLR-001946</t>
        </is>
      </c>
      <c r="F216" s="16" t="inlineStr">
        <is>
          <t>ECOM_B2C</t>
        </is>
      </c>
      <c r="G216" s="16" t="inlineStr">
        <is>
          <t>South Bengaluru</t>
        </is>
      </c>
      <c r="H216" s="16" t="n">
        <v>0.77</v>
      </c>
      <c r="I216" s="16" t="n">
        <v>540</v>
      </c>
      <c r="J216" s="16" t="n">
        <v>720</v>
      </c>
      <c r="K216" s="18" t="n">
        <v>571.4</v>
      </c>
      <c r="L216" s="18" t="n">
        <v>0</v>
      </c>
      <c r="M216" s="16" t="inlineStr">
        <is>
          <t>Yes</t>
        </is>
      </c>
      <c r="N216" s="17" t="n">
        <v>0.656</v>
      </c>
      <c r="O216" s="17" t="n">
        <v>0.885</v>
      </c>
      <c r="P216" s="18" t="n">
        <v>3.8</v>
      </c>
    </row>
    <row r="217">
      <c r="B217" s="10" t="inlineStr">
        <is>
          <t>BLR</t>
        </is>
      </c>
      <c r="C217" s="10" t="inlineStr">
        <is>
          <t>VEH-BLR-014</t>
        </is>
      </c>
      <c r="D217" s="10" t="n">
        <v>5</v>
      </c>
      <c r="E217" s="10" t="inlineStr">
        <is>
          <t>ORD-BLR-002035</t>
        </is>
      </c>
      <c r="F217" s="10" t="inlineStr">
        <is>
          <t>ECOM_B2C</t>
        </is>
      </c>
      <c r="G217" s="10" t="inlineStr">
        <is>
          <t>South Bengaluru</t>
        </is>
      </c>
      <c r="H217" s="10" t="n">
        <v>2.94</v>
      </c>
      <c r="I217" s="10" t="n">
        <v>600</v>
      </c>
      <c r="J217" s="10" t="n">
        <v>720</v>
      </c>
      <c r="K217" s="12" t="n">
        <v>577.8</v>
      </c>
      <c r="L217" s="12" t="n">
        <v>0</v>
      </c>
      <c r="M217" s="10" t="inlineStr">
        <is>
          <t>Yes</t>
        </is>
      </c>
      <c r="N217" s="11" t="n">
        <v>0.425</v>
      </c>
      <c r="O217" s="11" t="n">
        <v>0.574</v>
      </c>
      <c r="P217" s="12" t="n">
        <v>2.5</v>
      </c>
    </row>
    <row r="218">
      <c r="B218" s="16" t="inlineStr">
        <is>
          <t>BLR</t>
        </is>
      </c>
      <c r="C218" s="16" t="inlineStr">
        <is>
          <t>VEH-BLR-014</t>
        </is>
      </c>
      <c r="D218" s="16" t="n">
        <v>6</v>
      </c>
      <c r="E218" s="16" t="inlineStr">
        <is>
          <t>ORD-BLR-002026</t>
        </is>
      </c>
      <c r="F218" s="16" t="inlineStr">
        <is>
          <t>ECOM_B2C</t>
        </is>
      </c>
      <c r="G218" s="16" t="inlineStr">
        <is>
          <t>South Bengaluru</t>
        </is>
      </c>
      <c r="H218" s="16" t="n">
        <v>4.48</v>
      </c>
      <c r="I218" s="16" t="n">
        <v>600</v>
      </c>
      <c r="J218" s="16" t="n">
        <v>720</v>
      </c>
      <c r="K218" s="18" t="n">
        <v>609.2</v>
      </c>
      <c r="L218" s="18" t="n">
        <v>0</v>
      </c>
      <c r="M218" s="16" t="inlineStr">
        <is>
          <t>Yes</t>
        </is>
      </c>
      <c r="N218" s="17" t="n">
        <v>0.901</v>
      </c>
      <c r="O218" s="17" t="n">
        <v>1.217</v>
      </c>
      <c r="P218" s="18" t="n">
        <v>5.2</v>
      </c>
    </row>
    <row r="219">
      <c r="B219" s="10" t="inlineStr">
        <is>
          <t>BLR</t>
        </is>
      </c>
      <c r="C219" s="10" t="inlineStr">
        <is>
          <t>VEH-BLR-014</t>
        </is>
      </c>
      <c r="D219" s="10" t="n">
        <v>7</v>
      </c>
      <c r="E219" s="10" t="inlineStr">
        <is>
          <t>ORD-BLR-002062</t>
        </is>
      </c>
      <c r="F219" s="10" t="inlineStr">
        <is>
          <t>ECOM_B2C</t>
        </is>
      </c>
      <c r="G219" s="10" t="inlineStr">
        <is>
          <t>South Bengaluru</t>
        </is>
      </c>
      <c r="H219" s="10" t="n">
        <v>1.95</v>
      </c>
      <c r="I219" s="10" t="n">
        <v>540</v>
      </c>
      <c r="J219" s="10" t="n">
        <v>720</v>
      </c>
      <c r="K219" s="12" t="n">
        <v>620.1</v>
      </c>
      <c r="L219" s="12" t="n">
        <v>0</v>
      </c>
      <c r="M219" s="10" t="inlineStr">
        <is>
          <t>Yes</t>
        </is>
      </c>
      <c r="N219" s="11" t="n">
        <v>1.189</v>
      </c>
      <c r="O219" s="11" t="n">
        <v>1.605</v>
      </c>
      <c r="P219" s="12" t="n">
        <v>6.9</v>
      </c>
    </row>
    <row r="220">
      <c r="B220" s="16" t="inlineStr">
        <is>
          <t>BLR</t>
        </is>
      </c>
      <c r="C220" s="16" t="inlineStr">
        <is>
          <t>VEH-BLR-014</t>
        </is>
      </c>
      <c r="D220" s="16" t="n">
        <v>8</v>
      </c>
      <c r="E220" s="16" t="inlineStr">
        <is>
          <t>ORD-BLR-001960</t>
        </is>
      </c>
      <c r="F220" s="16" t="inlineStr">
        <is>
          <t>ECOM_B2C</t>
        </is>
      </c>
      <c r="G220" s="16" t="inlineStr">
        <is>
          <t>South Bengaluru</t>
        </is>
      </c>
      <c r="H220" s="16" t="n">
        <v>1.55</v>
      </c>
      <c r="I220" s="16" t="n">
        <v>540</v>
      </c>
      <c r="J220" s="16" t="n">
        <v>720</v>
      </c>
      <c r="K220" s="18" t="n">
        <v>629.9</v>
      </c>
      <c r="L220" s="18" t="n">
        <v>0</v>
      </c>
      <c r="M220" s="16" t="inlineStr">
        <is>
          <t>Yes</t>
        </is>
      </c>
      <c r="N220" s="17" t="n">
        <v>0.994</v>
      </c>
      <c r="O220" s="17" t="n">
        <v>1.342</v>
      </c>
      <c r="P220" s="18" t="n">
        <v>5.8</v>
      </c>
    </row>
    <row r="221">
      <c r="B221" s="10" t="inlineStr">
        <is>
          <t>BLR</t>
        </is>
      </c>
      <c r="C221" s="10" t="inlineStr">
        <is>
          <t>VEH-BLR-014</t>
        </is>
      </c>
      <c r="D221" s="10" t="n">
        <v>9</v>
      </c>
      <c r="E221" s="10" t="inlineStr">
        <is>
          <t>ORD-BLR-001978</t>
        </is>
      </c>
      <c r="F221" s="10" t="inlineStr">
        <is>
          <t>ECOM_B2C</t>
        </is>
      </c>
      <c r="G221" s="10" t="inlineStr">
        <is>
          <t>Central Bengaluru</t>
        </is>
      </c>
      <c r="H221" s="10" t="n">
        <v>4.02</v>
      </c>
      <c r="I221" s="10" t="n">
        <v>540</v>
      </c>
      <c r="J221" s="10" t="n">
        <v>720</v>
      </c>
      <c r="K221" s="12" t="n">
        <v>646.9</v>
      </c>
      <c r="L221" s="12" t="n">
        <v>0</v>
      </c>
      <c r="M221" s="10" t="inlineStr">
        <is>
          <t>Yes</t>
        </is>
      </c>
      <c r="N221" s="11" t="n">
        <v>2.225</v>
      </c>
      <c r="O221" s="11" t="n">
        <v>3.004</v>
      </c>
      <c r="P221" s="12" t="n">
        <v>13.1</v>
      </c>
    </row>
    <row r="222">
      <c r="B222" s="16" t="inlineStr">
        <is>
          <t>BLR</t>
        </is>
      </c>
      <c r="C222" s="16" t="inlineStr">
        <is>
          <t>VEH-BLR-014</t>
        </is>
      </c>
      <c r="D222" s="16" t="n">
        <v>10</v>
      </c>
      <c r="E222" s="16" t="inlineStr">
        <is>
          <t>ORD-BLR-002039</t>
        </is>
      </c>
      <c r="F222" s="16" t="inlineStr">
        <is>
          <t>ECOM_B2C</t>
        </is>
      </c>
      <c r="G222" s="16" t="inlineStr">
        <is>
          <t>Central Bengaluru</t>
        </is>
      </c>
      <c r="H222" s="16" t="n">
        <v>2.19</v>
      </c>
      <c r="I222" s="16" t="n">
        <v>600</v>
      </c>
      <c r="J222" s="16" t="n">
        <v>720</v>
      </c>
      <c r="K222" s="18" t="n">
        <v>674</v>
      </c>
      <c r="L222" s="18" t="n">
        <v>0</v>
      </c>
      <c r="M222" s="16" t="inlineStr">
        <is>
          <t>Yes</t>
        </is>
      </c>
      <c r="N222" s="17" t="n">
        <v>3.925</v>
      </c>
      <c r="O222" s="17" t="n">
        <v>5.298</v>
      </c>
      <c r="P222" s="18" t="n">
        <v>23.1</v>
      </c>
    </row>
    <row r="223">
      <c r="B223" s="10" t="inlineStr">
        <is>
          <t>BLR</t>
        </is>
      </c>
      <c r="C223" s="10" t="inlineStr">
        <is>
          <t>VEH-BLR-014</t>
        </is>
      </c>
      <c r="D223" s="10" t="n">
        <v>11</v>
      </c>
      <c r="E223" s="10" t="inlineStr">
        <is>
          <t>ORD-BLR-002052</t>
        </is>
      </c>
      <c r="F223" s="10" t="inlineStr">
        <is>
          <t>ECOM_B2C</t>
        </is>
      </c>
      <c r="G223" s="10" t="inlineStr">
        <is>
          <t>Central Bengaluru</t>
        </is>
      </c>
      <c r="H223" s="10" t="n">
        <v>4.91</v>
      </c>
      <c r="I223" s="10" t="n">
        <v>600</v>
      </c>
      <c r="J223" s="10" t="n">
        <v>720</v>
      </c>
      <c r="K223" s="12" t="n">
        <v>680.8</v>
      </c>
      <c r="L223" s="12" t="n">
        <v>0</v>
      </c>
      <c r="M223" s="10" t="inlineStr">
        <is>
          <t>Yes</t>
        </is>
      </c>
      <c r="N223" s="11" t="n">
        <v>0.784</v>
      </c>
      <c r="O223" s="11" t="n">
        <v>1.059</v>
      </c>
      <c r="P223" s="12" t="n">
        <v>2.8</v>
      </c>
    </row>
    <row r="224">
      <c r="B224" s="16" t="inlineStr">
        <is>
          <t>BLR</t>
        </is>
      </c>
      <c r="C224" s="16" t="inlineStr">
        <is>
          <t>VEH-BLR-014</t>
        </is>
      </c>
      <c r="D224" s="16" t="n">
        <v>12</v>
      </c>
      <c r="E224" s="16" t="inlineStr">
        <is>
          <t>ORD-BLR-002063</t>
        </is>
      </c>
      <c r="F224" s="16" t="inlineStr">
        <is>
          <t>ECOM_B2C</t>
        </is>
      </c>
      <c r="G224" s="16" t="inlineStr">
        <is>
          <t>Central Bengaluru</t>
        </is>
      </c>
      <c r="H224" s="16" t="n">
        <v>2.56</v>
      </c>
      <c r="I224" s="16" t="n">
        <v>540</v>
      </c>
      <c r="J224" s="16" t="n">
        <v>720</v>
      </c>
      <c r="K224" s="18" t="n">
        <v>686.3</v>
      </c>
      <c r="L224" s="18" t="n">
        <v>0</v>
      </c>
      <c r="M224" s="16" t="inlineStr">
        <is>
          <t>Yes</t>
        </is>
      </c>
      <c r="N224" s="17" t="n">
        <v>0.413</v>
      </c>
      <c r="O224" s="17" t="n">
        <v>0.5570000000000001</v>
      </c>
      <c r="P224" s="18" t="n">
        <v>1.5</v>
      </c>
    </row>
    <row r="225">
      <c r="B225" s="10" t="inlineStr">
        <is>
          <t>BLR</t>
        </is>
      </c>
      <c r="C225" s="10" t="inlineStr">
        <is>
          <t>VEH-BLR-014</t>
        </is>
      </c>
      <c r="D225" s="10" t="n">
        <v>13</v>
      </c>
      <c r="E225" s="10" t="inlineStr">
        <is>
          <t>ORD-BLR-001956</t>
        </is>
      </c>
      <c r="F225" s="10" t="inlineStr">
        <is>
          <t>ECOM_B2C</t>
        </is>
      </c>
      <c r="G225" s="10" t="inlineStr">
        <is>
          <t>Central Bengaluru</t>
        </is>
      </c>
      <c r="H225" s="10" t="n">
        <v>0.4</v>
      </c>
      <c r="I225" s="10" t="n">
        <v>600</v>
      </c>
      <c r="J225" s="10" t="n">
        <v>720</v>
      </c>
      <c r="K225" s="12" t="n">
        <v>695.3</v>
      </c>
      <c r="L225" s="12" t="n">
        <v>0</v>
      </c>
      <c r="M225" s="10" t="inlineStr">
        <is>
          <t>Yes</t>
        </is>
      </c>
      <c r="N225" s="11" t="n">
        <v>1.406</v>
      </c>
      <c r="O225" s="11" t="n">
        <v>1.898</v>
      </c>
      <c r="P225" s="12" t="n">
        <v>5</v>
      </c>
    </row>
    <row r="226">
      <c r="B226" s="16" t="inlineStr">
        <is>
          <t>BLR</t>
        </is>
      </c>
      <c r="C226" s="16" t="inlineStr">
        <is>
          <t>VEH-BLR-014</t>
        </is>
      </c>
      <c r="D226" s="16" t="n">
        <v>14</v>
      </c>
      <c r="E226" s="16" t="inlineStr">
        <is>
          <t>ORD-BLR-002027</t>
        </is>
      </c>
      <c r="F226" s="16" t="inlineStr">
        <is>
          <t>ECOM_B2C</t>
        </is>
      </c>
      <c r="G226" s="16" t="inlineStr">
        <is>
          <t>Central Bengaluru</t>
        </is>
      </c>
      <c r="H226" s="16" t="n">
        <v>2.05</v>
      </c>
      <c r="I226" s="16" t="n">
        <v>540</v>
      </c>
      <c r="J226" s="16" t="n">
        <v>720</v>
      </c>
      <c r="K226" s="18" t="n">
        <v>703.1</v>
      </c>
      <c r="L226" s="18" t="n">
        <v>0</v>
      </c>
      <c r="M226" s="16" t="inlineStr">
        <is>
          <t>Yes</t>
        </is>
      </c>
      <c r="N226" s="17" t="n">
        <v>1.053</v>
      </c>
      <c r="O226" s="17" t="n">
        <v>1.422</v>
      </c>
      <c r="P226" s="18" t="n">
        <v>3.8</v>
      </c>
    </row>
    <row r="227">
      <c r="B227" s="10" t="inlineStr">
        <is>
          <t>BLR</t>
        </is>
      </c>
      <c r="C227" s="10" t="inlineStr">
        <is>
          <t>VEH-BLR-014</t>
        </is>
      </c>
      <c r="D227" s="10" t="n">
        <v>15</v>
      </c>
      <c r="E227" s="10" t="inlineStr">
        <is>
          <t>ORD-BLR-002024</t>
        </is>
      </c>
      <c r="F227" s="10" t="inlineStr">
        <is>
          <t>ECOM_B2C</t>
        </is>
      </c>
      <c r="G227" s="10" t="inlineStr">
        <is>
          <t>Central Bengaluru</t>
        </is>
      </c>
      <c r="H227" s="10" t="n">
        <v>3.37</v>
      </c>
      <c r="I227" s="10" t="n">
        <v>720</v>
      </c>
      <c r="J227" s="10" t="n">
        <v>900</v>
      </c>
      <c r="K227" s="12" t="n">
        <v>709.2</v>
      </c>
      <c r="L227" s="12" t="n">
        <v>0</v>
      </c>
      <c r="M227" s="10" t="inlineStr">
        <is>
          <t>Yes</t>
        </is>
      </c>
      <c r="N227" s="11" t="n">
        <v>0.57</v>
      </c>
      <c r="O227" s="11" t="n">
        <v>0.77</v>
      </c>
      <c r="P227" s="12" t="n">
        <v>2</v>
      </c>
    </row>
    <row r="228">
      <c r="B228" s="16" t="inlineStr">
        <is>
          <t>BLR</t>
        </is>
      </c>
      <c r="C228" s="16" t="inlineStr">
        <is>
          <t>VEH-BLR-014</t>
        </is>
      </c>
      <c r="D228" s="16" t="n">
        <v>16</v>
      </c>
      <c r="E228" s="16" t="inlineStr">
        <is>
          <t>ORD-BLR-002014</t>
        </is>
      </c>
      <c r="F228" s="16" t="inlineStr">
        <is>
          <t>ECOM_B2C</t>
        </is>
      </c>
      <c r="G228" s="16" t="inlineStr">
        <is>
          <t>Central Bengaluru</t>
        </is>
      </c>
      <c r="H228" s="16" t="n">
        <v>2.4</v>
      </c>
      <c r="I228" s="16" t="n">
        <v>720</v>
      </c>
      <c r="J228" s="16" t="n">
        <v>900</v>
      </c>
      <c r="K228" s="18" t="n">
        <v>726.9</v>
      </c>
      <c r="L228" s="18" t="n">
        <v>0</v>
      </c>
      <c r="M228" s="16" t="inlineStr">
        <is>
          <t>Yes</t>
        </is>
      </c>
      <c r="N228" s="17" t="n">
        <v>0.8139999999999999</v>
      </c>
      <c r="O228" s="17" t="n">
        <v>1.099</v>
      </c>
      <c r="P228" s="18" t="n">
        <v>2.9</v>
      </c>
    </row>
    <row r="229">
      <c r="B229" s="10" t="inlineStr">
        <is>
          <t>BLR</t>
        </is>
      </c>
      <c r="C229" s="10" t="inlineStr">
        <is>
          <t>VEH-BLR-014</t>
        </is>
      </c>
      <c r="D229" s="10" t="n">
        <v>17</v>
      </c>
      <c r="E229" s="10" t="inlineStr">
        <is>
          <t>ORD-BLR-002042</t>
        </is>
      </c>
      <c r="F229" s="10" t="inlineStr">
        <is>
          <t>ECOM_B2C</t>
        </is>
      </c>
      <c r="G229" s="10" t="inlineStr">
        <is>
          <t>East Bengaluru</t>
        </is>
      </c>
      <c r="H229" s="10" t="n">
        <v>3.2</v>
      </c>
      <c r="I229" s="10" t="n">
        <v>720</v>
      </c>
      <c r="J229" s="10" t="n">
        <v>900</v>
      </c>
      <c r="K229" s="12" t="n">
        <v>739.6</v>
      </c>
      <c r="L229" s="12" t="n">
        <v>0</v>
      </c>
      <c r="M229" s="10" t="inlineStr">
        <is>
          <t>Yes</t>
        </is>
      </c>
      <c r="N229" s="11" t="n">
        <v>2.418</v>
      </c>
      <c r="O229" s="11" t="n">
        <v>3.265</v>
      </c>
      <c r="P229" s="12" t="n">
        <v>8.6</v>
      </c>
    </row>
    <row r="230">
      <c r="B230" s="16" t="inlineStr">
        <is>
          <t>BLR</t>
        </is>
      </c>
      <c r="C230" s="16" t="inlineStr">
        <is>
          <t>VEH-BLR-014</t>
        </is>
      </c>
      <c r="D230" s="16" t="n">
        <v>18</v>
      </c>
      <c r="E230" s="16" t="inlineStr">
        <is>
          <t>ORD-BLR-002073</t>
        </is>
      </c>
      <c r="F230" s="16" t="inlineStr">
        <is>
          <t>ECOM_B2C</t>
        </is>
      </c>
      <c r="G230" s="16" t="inlineStr">
        <is>
          <t>East Bengaluru</t>
        </is>
      </c>
      <c r="H230" s="16" t="n">
        <v>10.56</v>
      </c>
      <c r="I230" s="16" t="n">
        <v>720</v>
      </c>
      <c r="J230" s="16" t="n">
        <v>900</v>
      </c>
      <c r="K230" s="18" t="n">
        <v>747.6</v>
      </c>
      <c r="L230" s="18" t="n">
        <v>0</v>
      </c>
      <c r="M230" s="16" t="inlineStr">
        <is>
          <t>Yes</t>
        </is>
      </c>
      <c r="N230" s="17" t="n">
        <v>1.122</v>
      </c>
      <c r="O230" s="17" t="n">
        <v>1.515</v>
      </c>
      <c r="P230" s="18" t="n">
        <v>4</v>
      </c>
    </row>
    <row r="231">
      <c r="B231" s="10" t="inlineStr">
        <is>
          <t>BLR</t>
        </is>
      </c>
      <c r="C231" s="10" t="inlineStr">
        <is>
          <t>VEH-BLR-014</t>
        </is>
      </c>
      <c r="D231" s="10" t="n">
        <v>19</v>
      </c>
      <c r="E231" s="10" t="inlineStr">
        <is>
          <t>ORD-BLR-002037</t>
        </is>
      </c>
      <c r="F231" s="10" t="inlineStr">
        <is>
          <t>ECOM_B2C</t>
        </is>
      </c>
      <c r="G231" s="10" t="inlineStr">
        <is>
          <t>East Bengaluru</t>
        </is>
      </c>
      <c r="H231" s="10" t="n">
        <v>1.26</v>
      </c>
      <c r="I231" s="10" t="n">
        <v>720</v>
      </c>
      <c r="J231" s="10" t="n">
        <v>900</v>
      </c>
      <c r="K231" s="12" t="n">
        <v>751.6</v>
      </c>
      <c r="L231" s="12" t="n">
        <v>0</v>
      </c>
      <c r="M231" s="10" t="inlineStr">
        <is>
          <t>Yes</t>
        </is>
      </c>
      <c r="N231" s="11" t="n">
        <v>0</v>
      </c>
      <c r="O231" s="11" t="n">
        <v>0</v>
      </c>
      <c r="P231" s="12" t="n">
        <v>0</v>
      </c>
    </row>
    <row r="232">
      <c r="B232" s="16" t="inlineStr">
        <is>
          <t>BLR</t>
        </is>
      </c>
      <c r="C232" s="16" t="inlineStr">
        <is>
          <t>VEH-BLR-014</t>
        </is>
      </c>
      <c r="D232" s="16" t="n">
        <v>20</v>
      </c>
      <c r="E232" s="16" t="inlineStr">
        <is>
          <t>ORD-BLR-002036</t>
        </is>
      </c>
      <c r="F232" s="16" t="inlineStr">
        <is>
          <t>ECOM_B2C</t>
        </is>
      </c>
      <c r="G232" s="16" t="inlineStr">
        <is>
          <t>East Bengaluru</t>
        </is>
      </c>
      <c r="H232" s="16" t="n">
        <v>0.89</v>
      </c>
      <c r="I232" s="16" t="n">
        <v>720</v>
      </c>
      <c r="J232" s="16" t="n">
        <v>900</v>
      </c>
      <c r="K232" s="18" t="n">
        <v>758.5</v>
      </c>
      <c r="L232" s="18" t="n">
        <v>0</v>
      </c>
      <c r="M232" s="16" t="inlineStr">
        <is>
          <t>Yes</t>
        </is>
      </c>
      <c r="N232" s="17" t="n">
        <v>0.828</v>
      </c>
      <c r="O232" s="17" t="n">
        <v>1.117</v>
      </c>
      <c r="P232" s="18" t="n">
        <v>3</v>
      </c>
    </row>
    <row r="233">
      <c r="B233" s="10" t="inlineStr">
        <is>
          <t>BLR</t>
        </is>
      </c>
      <c r="C233" s="10" t="inlineStr">
        <is>
          <t>VEH-BLR-015</t>
        </is>
      </c>
      <c r="D233" s="10" t="n">
        <v>1</v>
      </c>
      <c r="E233" s="10" t="inlineStr">
        <is>
          <t>ORD-BLR-001953</t>
        </is>
      </c>
      <c r="F233" s="10" t="inlineStr">
        <is>
          <t>ECOM_B2C</t>
        </is>
      </c>
      <c r="G233" s="10" t="inlineStr">
        <is>
          <t>East Bengaluru</t>
        </is>
      </c>
      <c r="H233" s="10" t="n">
        <v>1.88</v>
      </c>
      <c r="I233" s="10" t="n">
        <v>540</v>
      </c>
      <c r="J233" s="10" t="n">
        <v>720</v>
      </c>
      <c r="K233" s="12" t="n">
        <v>540</v>
      </c>
      <c r="L233" s="12" t="n">
        <v>0</v>
      </c>
      <c r="M233" s="10" t="inlineStr">
        <is>
          <t>Yes</t>
        </is>
      </c>
      <c r="N233" s="11" t="n">
        <v>4.969</v>
      </c>
      <c r="O233" s="11" t="n">
        <v>6.708</v>
      </c>
      <c r="P233" s="12" t="n">
        <v>27.1</v>
      </c>
    </row>
    <row r="234">
      <c r="B234" s="16" t="inlineStr">
        <is>
          <t>BLR</t>
        </is>
      </c>
      <c r="C234" s="16" t="inlineStr">
        <is>
          <t>VEH-BLR-015</t>
        </is>
      </c>
      <c r="D234" s="16" t="n">
        <v>2</v>
      </c>
      <c r="E234" s="16" t="inlineStr">
        <is>
          <t>ORD-BLR-001994</t>
        </is>
      </c>
      <c r="F234" s="16" t="inlineStr">
        <is>
          <t>ECOM_B2C</t>
        </is>
      </c>
      <c r="G234" s="16" t="inlineStr">
        <is>
          <t>East Bengaluru</t>
        </is>
      </c>
      <c r="H234" s="16" t="n">
        <v>3.07</v>
      </c>
      <c r="I234" s="16" t="n">
        <v>540</v>
      </c>
      <c r="J234" s="16" t="n">
        <v>720</v>
      </c>
      <c r="K234" s="18" t="n">
        <v>548.6</v>
      </c>
      <c r="L234" s="18" t="n">
        <v>0</v>
      </c>
      <c r="M234" s="16" t="inlineStr">
        <is>
          <t>Yes</t>
        </is>
      </c>
      <c r="N234" s="17" t="n">
        <v>0.834</v>
      </c>
      <c r="O234" s="17" t="n">
        <v>1.126</v>
      </c>
      <c r="P234" s="18" t="n">
        <v>4.6</v>
      </c>
    </row>
    <row r="235">
      <c r="B235" s="10" t="inlineStr">
        <is>
          <t>BLR</t>
        </is>
      </c>
      <c r="C235" s="10" t="inlineStr">
        <is>
          <t>VEH-BLR-015</t>
        </is>
      </c>
      <c r="D235" s="10" t="n">
        <v>3</v>
      </c>
      <c r="E235" s="10" t="inlineStr">
        <is>
          <t>ORD-BLR-002007</t>
        </is>
      </c>
      <c r="F235" s="10" t="inlineStr">
        <is>
          <t>ECOM_B2C</t>
        </is>
      </c>
      <c r="G235" s="10" t="inlineStr">
        <is>
          <t>North Bengaluru</t>
        </is>
      </c>
      <c r="H235" s="10" t="n">
        <v>0.82</v>
      </c>
      <c r="I235" s="10" t="n">
        <v>540</v>
      </c>
      <c r="J235" s="10" t="n">
        <v>720</v>
      </c>
      <c r="K235" s="12" t="n">
        <v>583.3</v>
      </c>
      <c r="L235" s="12" t="n">
        <v>0</v>
      </c>
      <c r="M235" s="10" t="inlineStr">
        <is>
          <t>Yes</t>
        </is>
      </c>
      <c r="N235" s="11" t="n">
        <v>5.713</v>
      </c>
      <c r="O235" s="11" t="n">
        <v>7.713</v>
      </c>
      <c r="P235" s="12" t="n">
        <v>30.8</v>
      </c>
    </row>
    <row r="236">
      <c r="B236" s="16" t="inlineStr">
        <is>
          <t>BLR</t>
        </is>
      </c>
      <c r="C236" s="16" t="inlineStr">
        <is>
          <t>VEH-BLR-015</t>
        </is>
      </c>
      <c r="D236" s="16" t="n">
        <v>4</v>
      </c>
      <c r="E236" s="16" t="inlineStr">
        <is>
          <t>ORD-BLR-001962</t>
        </is>
      </c>
      <c r="F236" s="16" t="inlineStr">
        <is>
          <t>ECOM_B2C</t>
        </is>
      </c>
      <c r="G236" s="16" t="inlineStr">
        <is>
          <t>North Bengaluru</t>
        </is>
      </c>
      <c r="H236" s="16" t="n">
        <v>1.87</v>
      </c>
      <c r="I236" s="16" t="n">
        <v>540</v>
      </c>
      <c r="J236" s="16" t="n">
        <v>720</v>
      </c>
      <c r="K236" s="18" t="n">
        <v>592.3</v>
      </c>
      <c r="L236" s="18" t="n">
        <v>0</v>
      </c>
      <c r="M236" s="16" t="inlineStr">
        <is>
          <t>Yes</t>
        </is>
      </c>
      <c r="N236" s="17" t="n">
        <v>0.921</v>
      </c>
      <c r="O236" s="17" t="n">
        <v>1.243</v>
      </c>
      <c r="P236" s="18" t="n">
        <v>5</v>
      </c>
    </row>
    <row r="237">
      <c r="B237" s="10" t="inlineStr">
        <is>
          <t>BLR</t>
        </is>
      </c>
      <c r="C237" s="10" t="inlineStr">
        <is>
          <t>VEH-BLR-015</t>
        </is>
      </c>
      <c r="D237" s="10" t="n">
        <v>5</v>
      </c>
      <c r="E237" s="10" t="inlineStr">
        <is>
          <t>ORD-BLR-002022</t>
        </is>
      </c>
      <c r="F237" s="10" t="inlineStr">
        <is>
          <t>ECOM_B2C</t>
        </is>
      </c>
      <c r="G237" s="10" t="inlineStr">
        <is>
          <t>North Bengaluru</t>
        </is>
      </c>
      <c r="H237" s="10" t="n">
        <v>14.78</v>
      </c>
      <c r="I237" s="10" t="n">
        <v>600</v>
      </c>
      <c r="J237" s="10" t="n">
        <v>720</v>
      </c>
      <c r="K237" s="12" t="n">
        <v>597.7</v>
      </c>
      <c r="L237" s="12" t="n">
        <v>0</v>
      </c>
      <c r="M237" s="10" t="inlineStr">
        <is>
          <t>Yes</t>
        </is>
      </c>
      <c r="N237" s="11" t="n">
        <v>0.268</v>
      </c>
      <c r="O237" s="11" t="n">
        <v>0.362</v>
      </c>
      <c r="P237" s="12" t="n">
        <v>1.4</v>
      </c>
    </row>
    <row r="238">
      <c r="B238" s="16" t="inlineStr">
        <is>
          <t>BLR</t>
        </is>
      </c>
      <c r="C238" s="16" t="inlineStr">
        <is>
          <t>VEH-BLR-015</t>
        </is>
      </c>
      <c r="D238" s="16" t="n">
        <v>6</v>
      </c>
      <c r="E238" s="16" t="inlineStr">
        <is>
          <t>ORD-BLR-002051</t>
        </is>
      </c>
      <c r="F238" s="16" t="inlineStr">
        <is>
          <t>ECOM_B2C</t>
        </is>
      </c>
      <c r="G238" s="16" t="inlineStr">
        <is>
          <t>North Bengaluru</t>
        </is>
      </c>
      <c r="H238" s="16" t="n">
        <v>2.85</v>
      </c>
      <c r="I238" s="16" t="n">
        <v>600</v>
      </c>
      <c r="J238" s="16" t="n">
        <v>720</v>
      </c>
      <c r="K238" s="18" t="n">
        <v>610</v>
      </c>
      <c r="L238" s="18" t="n">
        <v>0</v>
      </c>
      <c r="M238" s="16" t="inlineStr">
        <is>
          <t>Yes</t>
        </is>
      </c>
      <c r="N238" s="17" t="n">
        <v>1.113</v>
      </c>
      <c r="O238" s="17" t="n">
        <v>1.502</v>
      </c>
      <c r="P238" s="18" t="n">
        <v>6</v>
      </c>
    </row>
    <row r="239">
      <c r="B239" s="10" t="inlineStr">
        <is>
          <t>BLR</t>
        </is>
      </c>
      <c r="C239" s="10" t="inlineStr">
        <is>
          <t>VEH-BLR-015</t>
        </is>
      </c>
      <c r="D239" s="10" t="n">
        <v>7</v>
      </c>
      <c r="E239" s="10" t="inlineStr">
        <is>
          <t>ORD-BLR-001941</t>
        </is>
      </c>
      <c r="F239" s="10" t="inlineStr">
        <is>
          <t>ECOM_B2C</t>
        </is>
      </c>
      <c r="G239" s="10" t="inlineStr">
        <is>
          <t>East Bengaluru</t>
        </is>
      </c>
      <c r="H239" s="10" t="n">
        <v>1.46</v>
      </c>
      <c r="I239" s="10" t="n">
        <v>540</v>
      </c>
      <c r="J239" s="10" t="n">
        <v>720</v>
      </c>
      <c r="K239" s="12" t="n">
        <v>651.5</v>
      </c>
      <c r="L239" s="12" t="n">
        <v>0</v>
      </c>
      <c r="M239" s="10" t="inlineStr">
        <is>
          <t>Yes</t>
        </is>
      </c>
      <c r="N239" s="11" t="n">
        <v>6.866</v>
      </c>
      <c r="O239" s="11" t="n">
        <v>9.269</v>
      </c>
      <c r="P239" s="12" t="n">
        <v>37.5</v>
      </c>
    </row>
    <row r="240">
      <c r="B240" s="16" t="inlineStr">
        <is>
          <t>BLR</t>
        </is>
      </c>
      <c r="C240" s="16" t="inlineStr">
        <is>
          <t>VEH-BLR-015</t>
        </is>
      </c>
      <c r="D240" s="16" t="n">
        <v>8</v>
      </c>
      <c r="E240" s="16" t="inlineStr">
        <is>
          <t>ORD-BLR-002015</t>
        </is>
      </c>
      <c r="F240" s="16" t="inlineStr">
        <is>
          <t>ECOM_B2C</t>
        </is>
      </c>
      <c r="G240" s="16" t="inlineStr">
        <is>
          <t>East Bengaluru</t>
        </is>
      </c>
      <c r="H240" s="16" t="n">
        <v>3.04</v>
      </c>
      <c r="I240" s="16" t="n">
        <v>540</v>
      </c>
      <c r="J240" s="16" t="n">
        <v>720</v>
      </c>
      <c r="K240" s="18" t="n">
        <v>683.1</v>
      </c>
      <c r="L240" s="18" t="n">
        <v>0</v>
      </c>
      <c r="M240" s="16" t="inlineStr">
        <is>
          <t>Yes</t>
        </is>
      </c>
      <c r="N240" s="17" t="n">
        <v>5.065</v>
      </c>
      <c r="O240" s="17" t="n">
        <v>6.838</v>
      </c>
      <c r="P240" s="18" t="n">
        <v>27.7</v>
      </c>
    </row>
    <row r="241">
      <c r="B241" s="10" t="inlineStr">
        <is>
          <t>BLR</t>
        </is>
      </c>
      <c r="C241" s="10" t="inlineStr">
        <is>
          <t>VEH-BLR-015</t>
        </is>
      </c>
      <c r="D241" s="10" t="n">
        <v>9</v>
      </c>
      <c r="E241" s="10" t="inlineStr">
        <is>
          <t>ORD-BLR-001944</t>
        </is>
      </c>
      <c r="F241" s="10" t="inlineStr">
        <is>
          <t>ECOM_B2C</t>
        </is>
      </c>
      <c r="G241" s="10" t="inlineStr">
        <is>
          <t>East Bengaluru</t>
        </is>
      </c>
      <c r="H241" s="10" t="n">
        <v>0.2</v>
      </c>
      <c r="I241" s="10" t="n">
        <v>720</v>
      </c>
      <c r="J241" s="10" t="n">
        <v>900</v>
      </c>
      <c r="K241" s="12" t="n">
        <v>692.5</v>
      </c>
      <c r="L241" s="12" t="n">
        <v>0</v>
      </c>
      <c r="M241" s="10" t="inlineStr">
        <is>
          <t>Yes</t>
        </is>
      </c>
      <c r="N241" s="11" t="n">
        <v>1.618</v>
      </c>
      <c r="O241" s="11" t="n">
        <v>2.185</v>
      </c>
      <c r="P241" s="12" t="n">
        <v>5.4</v>
      </c>
    </row>
    <row r="242">
      <c r="B242" s="16" t="inlineStr">
        <is>
          <t>BLR</t>
        </is>
      </c>
      <c r="C242" s="16" t="inlineStr">
        <is>
          <t>VEH-BLR-016</t>
        </is>
      </c>
      <c r="D242" s="16" t="n">
        <v>1</v>
      </c>
      <c r="E242" s="16" t="inlineStr">
        <is>
          <t>ORD-BLR-002009</t>
        </is>
      </c>
      <c r="F242" s="16" t="inlineStr">
        <is>
          <t>ECOM_B2C</t>
        </is>
      </c>
      <c r="G242" s="16" t="inlineStr">
        <is>
          <t>Central Bengaluru</t>
        </is>
      </c>
      <c r="H242" s="16" t="n">
        <v>2.68</v>
      </c>
      <c r="I242" s="16" t="n">
        <v>720</v>
      </c>
      <c r="J242" s="16" t="n">
        <v>900</v>
      </c>
      <c r="K242" s="18" t="n">
        <v>720</v>
      </c>
      <c r="L242" s="18" t="n">
        <v>0</v>
      </c>
      <c r="M242" s="16" t="inlineStr">
        <is>
          <t>Yes</t>
        </is>
      </c>
      <c r="N242" s="17" t="n">
        <v>5.184</v>
      </c>
      <c r="O242" s="17" t="n">
        <v>6.998</v>
      </c>
      <c r="P242" s="18" t="n">
        <v>17.4</v>
      </c>
    </row>
    <row r="243">
      <c r="B243" s="10" t="inlineStr">
        <is>
          <t>BLR</t>
        </is>
      </c>
      <c r="C243" s="10" t="inlineStr">
        <is>
          <t>VEH-BLR-016</t>
        </is>
      </c>
      <c r="D243" s="10" t="n">
        <v>2</v>
      </c>
      <c r="E243" s="10" t="inlineStr">
        <is>
          <t>ORD-BLR-002029</t>
        </is>
      </c>
      <c r="F243" s="10" t="inlineStr">
        <is>
          <t>ECOM_B2C</t>
        </is>
      </c>
      <c r="G243" s="10" t="inlineStr">
        <is>
          <t>Central Bengaluru</t>
        </is>
      </c>
      <c r="H243" s="10" t="n">
        <v>2</v>
      </c>
      <c r="I243" s="10" t="n">
        <v>720</v>
      </c>
      <c r="J243" s="10" t="n">
        <v>900</v>
      </c>
      <c r="K243" s="12" t="n">
        <v>726.9</v>
      </c>
      <c r="L243" s="12" t="n">
        <v>0</v>
      </c>
      <c r="M243" s="10" t="inlineStr">
        <is>
          <t>Yes</t>
        </is>
      </c>
      <c r="N243" s="11" t="n">
        <v>0.855</v>
      </c>
      <c r="O243" s="11" t="n">
        <v>1.154</v>
      </c>
      <c r="P243" s="12" t="n">
        <v>2.9</v>
      </c>
    </row>
    <row r="244">
      <c r="B244" s="16" t="inlineStr">
        <is>
          <t>BLR</t>
        </is>
      </c>
      <c r="C244" s="16" t="inlineStr">
        <is>
          <t>VEH-BLR-016</t>
        </is>
      </c>
      <c r="D244" s="16" t="n">
        <v>3</v>
      </c>
      <c r="E244" s="16" t="inlineStr">
        <is>
          <t>ORD-BLR-002072</t>
        </is>
      </c>
      <c r="F244" s="16" t="inlineStr">
        <is>
          <t>ECOM_B2C</t>
        </is>
      </c>
      <c r="G244" s="16" t="inlineStr">
        <is>
          <t>Central Bengaluru</t>
        </is>
      </c>
      <c r="H244" s="16" t="n">
        <v>1.03</v>
      </c>
      <c r="I244" s="16" t="n">
        <v>720</v>
      </c>
      <c r="J244" s="16" t="n">
        <v>900</v>
      </c>
      <c r="K244" s="18" t="n">
        <v>731.2</v>
      </c>
      <c r="L244" s="18" t="n">
        <v>0</v>
      </c>
      <c r="M244" s="16" t="inlineStr">
        <is>
          <t>Yes</t>
        </is>
      </c>
      <c r="N244" s="17" t="n">
        <v>0.101</v>
      </c>
      <c r="O244" s="17" t="n">
        <v>0.136</v>
      </c>
      <c r="P244" s="18" t="n">
        <v>0.3</v>
      </c>
    </row>
    <row r="245">
      <c r="B245" s="10" t="inlineStr">
        <is>
          <t>BLR</t>
        </is>
      </c>
      <c r="C245" s="10" t="inlineStr">
        <is>
          <t>VEH-BLR-016</t>
        </is>
      </c>
      <c r="D245" s="10" t="n">
        <v>4</v>
      </c>
      <c r="E245" s="10" t="inlineStr">
        <is>
          <t>ORD-BLR-001985</t>
        </is>
      </c>
      <c r="F245" s="10" t="inlineStr">
        <is>
          <t>ECOM_B2C</t>
        </is>
      </c>
      <c r="G245" s="10" t="inlineStr">
        <is>
          <t>Central Bengaluru</t>
        </is>
      </c>
      <c r="H245" s="10" t="n">
        <v>1.47</v>
      </c>
      <c r="I245" s="10" t="n">
        <v>720</v>
      </c>
      <c r="J245" s="10" t="n">
        <v>900</v>
      </c>
      <c r="K245" s="12" t="n">
        <v>752.2</v>
      </c>
      <c r="L245" s="12" t="n">
        <v>0</v>
      </c>
      <c r="M245" s="10" t="inlineStr">
        <is>
          <t>Yes</t>
        </is>
      </c>
      <c r="N245" s="11" t="n">
        <v>5.063</v>
      </c>
      <c r="O245" s="11" t="n">
        <v>6.836</v>
      </c>
      <c r="P245" s="12" t="n">
        <v>17</v>
      </c>
    </row>
    <row r="246">
      <c r="B246" s="16" t="inlineStr">
        <is>
          <t>BLR</t>
        </is>
      </c>
      <c r="C246" s="16" t="inlineStr">
        <is>
          <t>VEH-BLR-016</t>
        </is>
      </c>
      <c r="D246" s="16" t="n">
        <v>5</v>
      </c>
      <c r="E246" s="16" t="inlineStr">
        <is>
          <t>ORD-BLR-001982</t>
        </is>
      </c>
      <c r="F246" s="16" t="inlineStr">
        <is>
          <t>ECOM_B2C</t>
        </is>
      </c>
      <c r="G246" s="16" t="inlineStr">
        <is>
          <t>North Bengaluru</t>
        </is>
      </c>
      <c r="H246" s="16" t="n">
        <v>4.68</v>
      </c>
      <c r="I246" s="16" t="n">
        <v>720</v>
      </c>
      <c r="J246" s="16" t="n">
        <v>900</v>
      </c>
      <c r="K246" s="18" t="n">
        <v>780.8</v>
      </c>
      <c r="L246" s="18" t="n">
        <v>0</v>
      </c>
      <c r="M246" s="16" t="inlineStr">
        <is>
          <t>Yes</t>
        </is>
      </c>
      <c r="N246" s="17" t="n">
        <v>7.475</v>
      </c>
      <c r="O246" s="17" t="n">
        <v>10.092</v>
      </c>
      <c r="P246" s="18" t="n">
        <v>24.6</v>
      </c>
    </row>
    <row r="247">
      <c r="B247" s="10" t="inlineStr">
        <is>
          <t>BLR</t>
        </is>
      </c>
      <c r="C247" s="10" t="inlineStr">
        <is>
          <t>VEH-BLR-016</t>
        </is>
      </c>
      <c r="D247" s="10" t="n">
        <v>6</v>
      </c>
      <c r="E247" s="10" t="inlineStr">
        <is>
          <t>ORD-BLR-001983</t>
        </is>
      </c>
      <c r="F247" s="10" t="inlineStr">
        <is>
          <t>ECOM_B2C</t>
        </is>
      </c>
      <c r="G247" s="10" t="inlineStr">
        <is>
          <t>North Bengaluru</t>
        </is>
      </c>
      <c r="H247" s="10" t="n">
        <v>5.93</v>
      </c>
      <c r="I247" s="10" t="n">
        <v>840</v>
      </c>
      <c r="J247" s="10" t="n">
        <v>960</v>
      </c>
      <c r="K247" s="12" t="n">
        <v>785.6</v>
      </c>
      <c r="L247" s="12" t="n">
        <v>0</v>
      </c>
      <c r="M247" s="10" t="inlineStr">
        <is>
          <t>Yes</t>
        </is>
      </c>
      <c r="N247" s="11" t="n">
        <v>0.268</v>
      </c>
      <c r="O247" s="11" t="n">
        <v>0.362</v>
      </c>
      <c r="P247" s="12" t="n">
        <v>0.9</v>
      </c>
    </row>
    <row r="248">
      <c r="B248" s="16" t="inlineStr">
        <is>
          <t>BLR</t>
        </is>
      </c>
      <c r="C248" s="16" t="inlineStr">
        <is>
          <t>VEH-BLR-016</t>
        </is>
      </c>
      <c r="D248" s="16" t="n">
        <v>7</v>
      </c>
      <c r="E248" s="16" t="inlineStr">
        <is>
          <t>ORD-BLR-002047</t>
        </is>
      </c>
      <c r="F248" s="16" t="inlineStr">
        <is>
          <t>ECOM_B2C</t>
        </is>
      </c>
      <c r="G248" s="16" t="inlineStr">
        <is>
          <t>East Bengaluru</t>
        </is>
      </c>
      <c r="H248" s="16" t="n">
        <v>0.65</v>
      </c>
      <c r="I248" s="16" t="n">
        <v>840</v>
      </c>
      <c r="J248" s="16" t="n">
        <v>960</v>
      </c>
      <c r="K248" s="18" t="n">
        <v>865.1</v>
      </c>
      <c r="L248" s="18" t="n">
        <v>0</v>
      </c>
      <c r="M248" s="16" t="inlineStr">
        <is>
          <t>Yes</t>
        </is>
      </c>
      <c r="N248" s="17" t="n">
        <v>6.315</v>
      </c>
      <c r="O248" s="17" t="n">
        <v>8.525</v>
      </c>
      <c r="P248" s="18" t="n">
        <v>21.1</v>
      </c>
    </row>
    <row r="249">
      <c r="B249" s="10" t="inlineStr">
        <is>
          <t>BLR</t>
        </is>
      </c>
      <c r="C249" s="10" t="inlineStr">
        <is>
          <t>VEH-BLR-016</t>
        </is>
      </c>
      <c r="D249" s="10" t="n">
        <v>8</v>
      </c>
      <c r="E249" s="10" t="inlineStr">
        <is>
          <t>ORD-BLR-001973</t>
        </is>
      </c>
      <c r="F249" s="10" t="inlineStr">
        <is>
          <t>ECOM_B2C</t>
        </is>
      </c>
      <c r="G249" s="10" t="inlineStr">
        <is>
          <t>East Bengaluru</t>
        </is>
      </c>
      <c r="H249" s="10" t="n">
        <v>0.85</v>
      </c>
      <c r="I249" s="10" t="n">
        <v>840</v>
      </c>
      <c r="J249" s="10" t="n">
        <v>960</v>
      </c>
      <c r="K249" s="12" t="n">
        <v>893.2</v>
      </c>
      <c r="L249" s="12" t="n">
        <v>0</v>
      </c>
      <c r="M249" s="10" t="inlineStr">
        <is>
          <t>Yes</t>
        </is>
      </c>
      <c r="N249" s="11" t="n">
        <v>7.233</v>
      </c>
      <c r="O249" s="11" t="n">
        <v>9.765000000000001</v>
      </c>
      <c r="P249" s="12" t="n">
        <v>24.1</v>
      </c>
    </row>
    <row r="250">
      <c r="B250" s="16" t="inlineStr">
        <is>
          <t>BLR</t>
        </is>
      </c>
      <c r="C250" s="16" t="inlineStr">
        <is>
          <t>VEH-BLR-016</t>
        </is>
      </c>
      <c r="D250" s="16" t="n">
        <v>9</v>
      </c>
      <c r="E250" s="16" t="inlineStr">
        <is>
          <t>ORD-BLR-001986</t>
        </is>
      </c>
      <c r="F250" s="16" t="inlineStr">
        <is>
          <t>ECOM_B2C</t>
        </is>
      </c>
      <c r="G250" s="16" t="inlineStr">
        <is>
          <t>East Bengaluru</t>
        </is>
      </c>
      <c r="H250" s="16" t="n">
        <v>2.15</v>
      </c>
      <c r="I250" s="16" t="n">
        <v>900</v>
      </c>
      <c r="J250" s="16" t="n">
        <v>1080</v>
      </c>
      <c r="K250" s="18" t="n">
        <v>902.6</v>
      </c>
      <c r="L250" s="18" t="n">
        <v>0</v>
      </c>
      <c r="M250" s="16" t="inlineStr">
        <is>
          <t>Yes</t>
        </is>
      </c>
      <c r="N250" s="17" t="n">
        <v>1.628</v>
      </c>
      <c r="O250" s="17" t="n">
        <v>2.198</v>
      </c>
      <c r="P250" s="18" t="n">
        <v>5.4</v>
      </c>
    </row>
    <row r="251">
      <c r="B251" s="10" t="inlineStr">
        <is>
          <t>BLR</t>
        </is>
      </c>
      <c r="C251" s="10" t="inlineStr">
        <is>
          <t>VEH-BLR-016</t>
        </is>
      </c>
      <c r="D251" s="10" t="n">
        <v>10</v>
      </c>
      <c r="E251" s="10" t="inlineStr">
        <is>
          <t>ORD-BLR-002034</t>
        </is>
      </c>
      <c r="F251" s="10" t="inlineStr">
        <is>
          <t>ECOM_B2C</t>
        </is>
      </c>
      <c r="G251" s="10" t="inlineStr">
        <is>
          <t>Central Bengaluru</t>
        </is>
      </c>
      <c r="H251" s="10" t="n">
        <v>0.84</v>
      </c>
      <c r="I251" s="10" t="n">
        <v>900</v>
      </c>
      <c r="J251" s="10" t="n">
        <v>1080</v>
      </c>
      <c r="K251" s="12" t="n">
        <v>918.8</v>
      </c>
      <c r="L251" s="12" t="n">
        <v>0</v>
      </c>
      <c r="M251" s="10" t="inlineStr">
        <is>
          <t>Yes</t>
        </is>
      </c>
      <c r="N251" s="11" t="n">
        <v>3.624</v>
      </c>
      <c r="O251" s="11" t="n">
        <v>4.893</v>
      </c>
      <c r="P251" s="12" t="n">
        <v>12.1</v>
      </c>
    </row>
    <row r="252">
      <c r="B252" s="16" t="inlineStr">
        <is>
          <t>BLR</t>
        </is>
      </c>
      <c r="C252" s="16" t="inlineStr">
        <is>
          <t>VEH-BLR-016</t>
        </is>
      </c>
      <c r="D252" s="16" t="n">
        <v>11</v>
      </c>
      <c r="E252" s="16" t="inlineStr">
        <is>
          <t>ORD-BLR-002033</t>
        </is>
      </c>
      <c r="F252" s="16" t="inlineStr">
        <is>
          <t>ECOM_B2C</t>
        </is>
      </c>
      <c r="G252" s="16" t="inlineStr">
        <is>
          <t>East Bengaluru</t>
        </is>
      </c>
      <c r="H252" s="16" t="n">
        <v>2.61</v>
      </c>
      <c r="I252" s="16" t="n">
        <v>900</v>
      </c>
      <c r="J252" s="16" t="n">
        <v>1080</v>
      </c>
      <c r="K252" s="18" t="n">
        <v>938.1</v>
      </c>
      <c r="L252" s="18" t="n">
        <v>0</v>
      </c>
      <c r="M252" s="16" t="inlineStr">
        <is>
          <t>Yes</t>
        </is>
      </c>
      <c r="N252" s="17" t="n">
        <v>4.594</v>
      </c>
      <c r="O252" s="17" t="n">
        <v>6.202</v>
      </c>
      <c r="P252" s="18" t="n">
        <v>15.3</v>
      </c>
    </row>
    <row r="253">
      <c r="B253" s="10" t="inlineStr">
        <is>
          <t>BLR</t>
        </is>
      </c>
      <c r="C253" s="10" t="inlineStr">
        <is>
          <t>VEH-BLR-016</t>
        </is>
      </c>
      <c r="D253" s="10" t="n">
        <v>12</v>
      </c>
      <c r="E253" s="10" t="inlineStr">
        <is>
          <t>ORD-BLR-001984</t>
        </is>
      </c>
      <c r="F253" s="10" t="inlineStr">
        <is>
          <t>ECOM_B2C</t>
        </is>
      </c>
      <c r="G253" s="10" t="inlineStr">
        <is>
          <t>East Bengaluru</t>
        </is>
      </c>
      <c r="H253" s="10" t="n">
        <v>3.28</v>
      </c>
      <c r="I253" s="10" t="n">
        <v>900</v>
      </c>
      <c r="J253" s="10" t="n">
        <v>1080</v>
      </c>
      <c r="K253" s="12" t="n">
        <v>964.9</v>
      </c>
      <c r="L253" s="12" t="n">
        <v>0</v>
      </c>
      <c r="M253" s="10" t="inlineStr">
        <is>
          <t>Yes</t>
        </is>
      </c>
      <c r="N253" s="11" t="n">
        <v>6.844</v>
      </c>
      <c r="O253" s="11" t="n">
        <v>9.24</v>
      </c>
      <c r="P253" s="12" t="n">
        <v>22.8</v>
      </c>
    </row>
    <row r="254">
      <c r="B254" s="16" t="inlineStr">
        <is>
          <t>BLR</t>
        </is>
      </c>
      <c r="C254" s="16" t="inlineStr">
        <is>
          <t>VEH-BLR-016</t>
        </is>
      </c>
      <c r="D254" s="16" t="n">
        <v>13</v>
      </c>
      <c r="E254" s="16" t="inlineStr">
        <is>
          <t>ORD-BLR-002021</t>
        </is>
      </c>
      <c r="F254" s="16" t="inlineStr">
        <is>
          <t>ECOM_B2C</t>
        </is>
      </c>
      <c r="G254" s="16" t="inlineStr">
        <is>
          <t>East Bengaluru</t>
        </is>
      </c>
      <c r="H254" s="16" t="n">
        <v>5.28</v>
      </c>
      <c r="I254" s="16" t="n">
        <v>1080</v>
      </c>
      <c r="J254" s="16" t="n">
        <v>1260</v>
      </c>
      <c r="K254" s="18" t="n">
        <v>990.2</v>
      </c>
      <c r="L254" s="18" t="n">
        <v>0</v>
      </c>
      <c r="M254" s="16" t="inlineStr">
        <is>
          <t>Yes</t>
        </is>
      </c>
      <c r="N254" s="17" t="n">
        <v>6.385</v>
      </c>
      <c r="O254" s="17" t="n">
        <v>8.619</v>
      </c>
      <c r="P254" s="18" t="n">
        <v>21.3</v>
      </c>
    </row>
    <row r="255">
      <c r="B255" s="10" t="inlineStr">
        <is>
          <t>BLR</t>
        </is>
      </c>
      <c r="C255" s="10" t="inlineStr">
        <is>
          <t>VEH-BLR-016</t>
        </is>
      </c>
      <c r="D255" s="10" t="n">
        <v>14</v>
      </c>
      <c r="E255" s="10" t="inlineStr">
        <is>
          <t>ORD-BLR-001970</t>
        </is>
      </c>
      <c r="F255" s="10" t="inlineStr">
        <is>
          <t>ECOM_B2C</t>
        </is>
      </c>
      <c r="G255" s="10" t="inlineStr">
        <is>
          <t>East Bengaluru</t>
        </is>
      </c>
      <c r="H255" s="10" t="n">
        <v>0.68</v>
      </c>
      <c r="I255" s="10" t="n">
        <v>1080</v>
      </c>
      <c r="J255" s="10" t="n">
        <v>1260</v>
      </c>
      <c r="K255" s="12" t="n">
        <v>1122.2</v>
      </c>
      <c r="L255" s="12" t="n">
        <v>0</v>
      </c>
      <c r="M255" s="10" t="inlineStr">
        <is>
          <t>Yes</t>
        </is>
      </c>
      <c r="N255" s="11" t="n">
        <v>5.726</v>
      </c>
      <c r="O255" s="11" t="n">
        <v>7.73</v>
      </c>
      <c r="P255" s="12" t="n">
        <v>38.2</v>
      </c>
    </row>
    <row r="256">
      <c r="B256" s="16" t="inlineStr">
        <is>
          <t>BLR</t>
        </is>
      </c>
      <c r="C256" s="16" t="inlineStr">
        <is>
          <t>VEH-BLR-017</t>
        </is>
      </c>
      <c r="D256" s="16" t="n">
        <v>1</v>
      </c>
      <c r="E256" s="16" t="inlineStr">
        <is>
          <t>ORD-BLR-002032</t>
        </is>
      </c>
      <c r="F256" s="16" t="inlineStr">
        <is>
          <t>ECOM_B2C</t>
        </is>
      </c>
      <c r="G256" s="16" t="inlineStr">
        <is>
          <t>South Bengaluru</t>
        </is>
      </c>
      <c r="H256" s="16" t="n">
        <v>2.16</v>
      </c>
      <c r="I256" s="16" t="n">
        <v>900</v>
      </c>
      <c r="J256" s="16" t="n">
        <v>1080</v>
      </c>
      <c r="K256" s="18" t="n">
        <v>900</v>
      </c>
      <c r="L256" s="18" t="n">
        <v>0</v>
      </c>
      <c r="M256" s="16" t="inlineStr">
        <is>
          <t>Yes</t>
        </is>
      </c>
      <c r="N256" s="17" t="n">
        <v>10.601</v>
      </c>
      <c r="O256" s="17" t="n">
        <v>14.311</v>
      </c>
      <c r="P256" s="18" t="n">
        <v>35</v>
      </c>
    </row>
    <row r="257">
      <c r="B257" s="10" t="inlineStr">
        <is>
          <t>BLR</t>
        </is>
      </c>
      <c r="C257" s="10" t="inlineStr">
        <is>
          <t>VEH-BLR-017</t>
        </is>
      </c>
      <c r="D257" s="10" t="n">
        <v>2</v>
      </c>
      <c r="E257" s="10" t="inlineStr">
        <is>
          <t>ORD-BLR-002041</t>
        </is>
      </c>
      <c r="F257" s="10" t="inlineStr">
        <is>
          <t>ECOM_B2C</t>
        </is>
      </c>
      <c r="G257" s="10" t="inlineStr">
        <is>
          <t>South Bengaluru</t>
        </is>
      </c>
      <c r="H257" s="10" t="n">
        <v>8.57</v>
      </c>
      <c r="I257" s="10" t="n">
        <v>900</v>
      </c>
      <c r="J257" s="10" t="n">
        <v>1080</v>
      </c>
      <c r="K257" s="12" t="n">
        <v>906.5</v>
      </c>
      <c r="L257" s="12" t="n">
        <v>0</v>
      </c>
      <c r="M257" s="10" t="inlineStr">
        <is>
          <t>Yes</t>
        </is>
      </c>
      <c r="N257" s="11" t="n">
        <v>0.765</v>
      </c>
      <c r="O257" s="11" t="n">
        <v>1.033</v>
      </c>
      <c r="P257" s="12" t="n">
        <v>2.5</v>
      </c>
    </row>
    <row r="258">
      <c r="B258" s="16" t="inlineStr">
        <is>
          <t>BLR</t>
        </is>
      </c>
      <c r="C258" s="16" t="inlineStr">
        <is>
          <t>VEH-BLR-017</t>
        </is>
      </c>
      <c r="D258" s="16" t="n">
        <v>3</v>
      </c>
      <c r="E258" s="16" t="inlineStr">
        <is>
          <t>ORD-BLR-002019</t>
        </is>
      </c>
      <c r="F258" s="16" t="inlineStr">
        <is>
          <t>ECOM_B2C</t>
        </is>
      </c>
      <c r="G258" s="16" t="inlineStr">
        <is>
          <t>South Bengaluru</t>
        </is>
      </c>
      <c r="H258" s="16" t="n">
        <v>0.95</v>
      </c>
      <c r="I258" s="16" t="n">
        <v>900</v>
      </c>
      <c r="J258" s="16" t="n">
        <v>1080</v>
      </c>
      <c r="K258" s="18" t="n">
        <v>910.9</v>
      </c>
      <c r="L258" s="18" t="n">
        <v>0</v>
      </c>
      <c r="M258" s="16" t="inlineStr">
        <is>
          <t>Yes</t>
        </is>
      </c>
      <c r="N258" s="17" t="n">
        <v>0.119</v>
      </c>
      <c r="O258" s="17" t="n">
        <v>0.161</v>
      </c>
      <c r="P258" s="18" t="n">
        <v>0.4</v>
      </c>
    </row>
    <row r="259">
      <c r="B259" s="10" t="inlineStr">
        <is>
          <t>BLR</t>
        </is>
      </c>
      <c r="C259" s="10" t="inlineStr">
        <is>
          <t>VEH-BLR-017</t>
        </is>
      </c>
      <c r="D259" s="10" t="n">
        <v>4</v>
      </c>
      <c r="E259" s="10" t="inlineStr">
        <is>
          <t>ORD-BLR-002005</t>
        </is>
      </c>
      <c r="F259" s="10" t="inlineStr">
        <is>
          <t>ECOM_B2C</t>
        </is>
      </c>
      <c r="G259" s="10" t="inlineStr">
        <is>
          <t>South Bengaluru</t>
        </is>
      </c>
      <c r="H259" s="10" t="n">
        <v>1.44</v>
      </c>
      <c r="I259" s="10" t="n">
        <v>1080</v>
      </c>
      <c r="J259" s="10" t="n">
        <v>1260</v>
      </c>
      <c r="K259" s="12" t="n">
        <v>915.7</v>
      </c>
      <c r="L259" s="12" t="n">
        <v>0</v>
      </c>
      <c r="M259" s="10" t="inlineStr">
        <is>
          <t>Yes</t>
        </is>
      </c>
      <c r="N259" s="11" t="n">
        <v>0.238</v>
      </c>
      <c r="O259" s="11" t="n">
        <v>0.321</v>
      </c>
      <c r="P259" s="12" t="n">
        <v>0.8</v>
      </c>
    </row>
    <row r="260">
      <c r="B260" s="16" t="inlineStr">
        <is>
          <t>BLR</t>
        </is>
      </c>
      <c r="C260" s="16" t="inlineStr">
        <is>
          <t>VEH-BLR-017</t>
        </is>
      </c>
      <c r="D260" s="16" t="n">
        <v>5</v>
      </c>
      <c r="E260" s="16" t="inlineStr">
        <is>
          <t>ORD-BLR-001971</t>
        </is>
      </c>
      <c r="F260" s="16" t="inlineStr">
        <is>
          <t>ECOM_B2C</t>
        </is>
      </c>
      <c r="G260" s="16" t="inlineStr">
        <is>
          <t>South Bengaluru</t>
        </is>
      </c>
      <c r="H260" s="16" t="n">
        <v>2.52</v>
      </c>
      <c r="I260" s="16" t="n">
        <v>1080</v>
      </c>
      <c r="J260" s="16" t="n">
        <v>1260</v>
      </c>
      <c r="K260" s="18" t="n">
        <v>1084</v>
      </c>
      <c r="L260" s="18" t="n">
        <v>0</v>
      </c>
      <c r="M260" s="16" t="inlineStr">
        <is>
          <t>Yes</t>
        </is>
      </c>
      <c r="N260" s="17" t="n">
        <v>0</v>
      </c>
      <c r="O260" s="17" t="n">
        <v>0</v>
      </c>
      <c r="P260" s="18" t="n">
        <v>0</v>
      </c>
    </row>
    <row r="261">
      <c r="B261" s="10" t="inlineStr">
        <is>
          <t>BLR</t>
        </is>
      </c>
      <c r="C261" s="10" t="inlineStr">
        <is>
          <t>VEH-BLR-017</t>
        </is>
      </c>
      <c r="D261" s="10" t="n">
        <v>6</v>
      </c>
      <c r="E261" s="10" t="inlineStr">
        <is>
          <t>ORD-BLR-001987</t>
        </is>
      </c>
      <c r="F261" s="10" t="inlineStr">
        <is>
          <t>ECOM_B2C</t>
        </is>
      </c>
      <c r="G261" s="10" t="inlineStr">
        <is>
          <t>South Bengaluru</t>
        </is>
      </c>
      <c r="H261" s="10" t="n">
        <v>2.71</v>
      </c>
      <c r="I261" s="10" t="n">
        <v>1080</v>
      </c>
      <c r="J261" s="10" t="n">
        <v>1260</v>
      </c>
      <c r="K261" s="12" t="n">
        <v>1146.5</v>
      </c>
      <c r="L261" s="12" t="n">
        <v>0</v>
      </c>
      <c r="M261" s="10" t="inlineStr">
        <is>
          <t>Yes</t>
        </is>
      </c>
      <c r="N261" s="11" t="n">
        <v>8.856</v>
      </c>
      <c r="O261" s="11" t="n">
        <v>11.956</v>
      </c>
      <c r="P261" s="12" t="n">
        <v>58.5</v>
      </c>
    </row>
    <row r="262">
      <c r="B262" s="16" t="inlineStr">
        <is>
          <t>BLR</t>
        </is>
      </c>
      <c r="C262" s="16" t="inlineStr">
        <is>
          <t>VEH-BLR-017</t>
        </is>
      </c>
      <c r="D262" s="16" t="n">
        <v>7</v>
      </c>
      <c r="E262" s="16" t="inlineStr">
        <is>
          <t>ORD-BLR-002070</t>
        </is>
      </c>
      <c r="F262" s="16" t="inlineStr">
        <is>
          <t>ECOM_B2C</t>
        </is>
      </c>
      <c r="G262" s="16" t="inlineStr">
        <is>
          <t>South Bengaluru</t>
        </is>
      </c>
      <c r="H262" s="16" t="n">
        <v>0.39</v>
      </c>
      <c r="I262" s="16" t="n">
        <v>1080</v>
      </c>
      <c r="J262" s="16" t="n">
        <v>1200</v>
      </c>
      <c r="K262" s="18" t="n">
        <v>1150.5</v>
      </c>
      <c r="L262" s="18" t="n">
        <v>0</v>
      </c>
      <c r="M262" s="16" t="inlineStr">
        <is>
          <t>Yes</t>
        </is>
      </c>
      <c r="N262" s="17" t="n">
        <v>0</v>
      </c>
      <c r="O262" s="17" t="n">
        <v>0</v>
      </c>
      <c r="P262" s="18" t="n">
        <v>0</v>
      </c>
    </row>
    <row r="263">
      <c r="B263" s="10" t="inlineStr">
        <is>
          <t>BLR</t>
        </is>
      </c>
      <c r="C263" s="10" t="inlineStr">
        <is>
          <t>VEH-BLR-017</t>
        </is>
      </c>
      <c r="D263" s="10" t="n">
        <v>8</v>
      </c>
      <c r="E263" s="10" t="inlineStr">
        <is>
          <t>ORD-BLR-002056</t>
        </is>
      </c>
      <c r="F263" s="10" t="inlineStr">
        <is>
          <t>ECOM_B2C</t>
        </is>
      </c>
      <c r="G263" s="10" t="inlineStr">
        <is>
          <t>South Bengaluru</t>
        </is>
      </c>
      <c r="H263" s="10" t="n">
        <v>1.07</v>
      </c>
      <c r="I263" s="10" t="n">
        <v>1080</v>
      </c>
      <c r="J263" s="10" t="n">
        <v>1260</v>
      </c>
      <c r="K263" s="12" t="n">
        <v>1154.5</v>
      </c>
      <c r="L263" s="12" t="n">
        <v>0</v>
      </c>
      <c r="M263" s="10" t="inlineStr">
        <is>
          <t>Yes</t>
        </is>
      </c>
      <c r="N263" s="11" t="n">
        <v>0</v>
      </c>
      <c r="O263" s="11" t="n">
        <v>0</v>
      </c>
      <c r="P263" s="12" t="n">
        <v>0</v>
      </c>
    </row>
    <row r="264">
      <c r="B264" s="16" t="inlineStr">
        <is>
          <t>BLR</t>
        </is>
      </c>
      <c r="C264" s="16" t="inlineStr">
        <is>
          <t>VEH-BLR-017</t>
        </is>
      </c>
      <c r="D264" s="16" t="n">
        <v>9</v>
      </c>
      <c r="E264" s="16" t="inlineStr">
        <is>
          <t>ORD-BLR-002017</t>
        </is>
      </c>
      <c r="F264" s="16" t="inlineStr">
        <is>
          <t>ECOM_B2C</t>
        </is>
      </c>
      <c r="G264" s="16" t="inlineStr">
        <is>
          <t>South Bengaluru</t>
        </is>
      </c>
      <c r="H264" s="16" t="n">
        <v>2.81</v>
      </c>
      <c r="I264" s="16" t="n">
        <v>1080</v>
      </c>
      <c r="J264" s="16" t="n">
        <v>1200</v>
      </c>
      <c r="K264" s="18" t="n">
        <v>1158.5</v>
      </c>
      <c r="L264" s="18" t="n">
        <v>0</v>
      </c>
      <c r="M264" s="16" t="inlineStr">
        <is>
          <t>Yes</t>
        </is>
      </c>
      <c r="N264" s="17" t="n">
        <v>0</v>
      </c>
      <c r="O264" s="17" t="n">
        <v>0</v>
      </c>
      <c r="P264" s="18" t="n">
        <v>0</v>
      </c>
    </row>
    <row r="265">
      <c r="B265" s="10" t="inlineStr">
        <is>
          <t>BLR</t>
        </is>
      </c>
      <c r="C265" s="10" t="inlineStr">
        <is>
          <t>VEH-BLR-017</t>
        </is>
      </c>
      <c r="D265" s="10" t="n">
        <v>10</v>
      </c>
      <c r="E265" s="10" t="inlineStr">
        <is>
          <t>ORD-BLR-001979</t>
        </is>
      </c>
      <c r="F265" s="10" t="inlineStr">
        <is>
          <t>ECOM_B2C</t>
        </is>
      </c>
      <c r="G265" s="10" t="inlineStr">
        <is>
          <t>South Bengaluru</t>
        </is>
      </c>
      <c r="H265" s="10" t="n">
        <v>1.56</v>
      </c>
      <c r="I265" s="10" t="n">
        <v>1080</v>
      </c>
      <c r="J265" s="10" t="n">
        <v>1200</v>
      </c>
      <c r="K265" s="12" t="n">
        <v>1177.4</v>
      </c>
      <c r="L265" s="12" t="n">
        <v>0</v>
      </c>
      <c r="M265" s="10" t="inlineStr">
        <is>
          <t>Yes</t>
        </is>
      </c>
      <c r="N265" s="11" t="n">
        <v>2.243</v>
      </c>
      <c r="O265" s="11" t="n">
        <v>3.028</v>
      </c>
      <c r="P265" s="12" t="n">
        <v>14.8</v>
      </c>
    </row>
    <row r="266">
      <c r="B266" s="16" t="inlineStr">
        <is>
          <t>BLR</t>
        </is>
      </c>
      <c r="C266" s="16" t="inlineStr">
        <is>
          <t>VEH-BLR-017</t>
        </is>
      </c>
      <c r="D266" s="16" t="n">
        <v>11</v>
      </c>
      <c r="E266" s="16" t="inlineStr">
        <is>
          <t>ORD-BLR-002069</t>
        </is>
      </c>
      <c r="F266" s="16" t="inlineStr">
        <is>
          <t>ECOM_B2C</t>
        </is>
      </c>
      <c r="G266" s="16" t="inlineStr">
        <is>
          <t>South Bengaluru</t>
        </is>
      </c>
      <c r="H266" s="16" t="n">
        <v>1.45</v>
      </c>
      <c r="I266" s="16" t="n">
        <v>1080</v>
      </c>
      <c r="J266" s="16" t="n">
        <v>1260</v>
      </c>
      <c r="K266" s="18" t="n">
        <v>1189.6</v>
      </c>
      <c r="L266" s="18" t="n">
        <v>0</v>
      </c>
      <c r="M266" s="16" t="inlineStr">
        <is>
          <t>Yes</t>
        </is>
      </c>
      <c r="N266" s="17" t="n">
        <v>1.253</v>
      </c>
      <c r="O266" s="17" t="n">
        <v>1.691</v>
      </c>
      <c r="P266" s="18" t="n">
        <v>8.300000000000001</v>
      </c>
    </row>
    <row r="267">
      <c r="B267" s="10" t="inlineStr">
        <is>
          <t>BLR</t>
        </is>
      </c>
      <c r="C267" s="10" t="inlineStr">
        <is>
          <t>VEH-BLR-017</t>
        </is>
      </c>
      <c r="D267" s="10" t="n">
        <v>12</v>
      </c>
      <c r="E267" s="10" t="inlineStr">
        <is>
          <t>ORD-BLR-001943</t>
        </is>
      </c>
      <c r="F267" s="10" t="inlineStr">
        <is>
          <t>ECOM_B2C</t>
        </is>
      </c>
      <c r="G267" s="10" t="inlineStr">
        <is>
          <t>South Bengaluru</t>
        </is>
      </c>
      <c r="H267" s="10" t="n">
        <v>2.13</v>
      </c>
      <c r="I267" s="10" t="n">
        <v>1080</v>
      </c>
      <c r="J267" s="10" t="n">
        <v>1200</v>
      </c>
      <c r="K267" s="12" t="n">
        <v>1194.7</v>
      </c>
      <c r="L267" s="12" t="n">
        <v>0</v>
      </c>
      <c r="M267" s="10" t="inlineStr">
        <is>
          <t>Yes</t>
        </is>
      </c>
      <c r="N267" s="11" t="n">
        <v>0.156</v>
      </c>
      <c r="O267" s="11" t="n">
        <v>0.211</v>
      </c>
      <c r="P267" s="12" t="n">
        <v>1</v>
      </c>
    </row>
    <row r="268">
      <c r="B268" s="16" t="inlineStr">
        <is>
          <t>BLR</t>
        </is>
      </c>
      <c r="C268" s="16" t="inlineStr">
        <is>
          <t>VEH-BLR-017</t>
        </is>
      </c>
      <c r="D268" s="16" t="n">
        <v>13</v>
      </c>
      <c r="E268" s="16" t="inlineStr">
        <is>
          <t>ORD-BLR-001942</t>
        </is>
      </c>
      <c r="F268" s="16" t="inlineStr">
        <is>
          <t>ECOM_B2C</t>
        </is>
      </c>
      <c r="G268" s="16" t="inlineStr">
        <is>
          <t>South Bengaluru</t>
        </is>
      </c>
      <c r="H268" s="16" t="n">
        <v>0.6899999999999999</v>
      </c>
      <c r="I268" s="16" t="n">
        <v>1080</v>
      </c>
      <c r="J268" s="16" t="n">
        <v>1260</v>
      </c>
      <c r="K268" s="18" t="n">
        <v>1201.3</v>
      </c>
      <c r="L268" s="18" t="n">
        <v>0</v>
      </c>
      <c r="M268" s="16" t="inlineStr">
        <is>
          <t>Yes</t>
        </is>
      </c>
      <c r="N268" s="17" t="n">
        <v>0.395</v>
      </c>
      <c r="O268" s="17" t="n">
        <v>0.534</v>
      </c>
      <c r="P268" s="18" t="n">
        <v>2.6</v>
      </c>
    </row>
    <row r="269">
      <c r="B269" s="10" t="inlineStr">
        <is>
          <t>BLR</t>
        </is>
      </c>
      <c r="C269" s="10" t="inlineStr">
        <is>
          <t>VEH-BLR-017</t>
        </is>
      </c>
      <c r="D269" s="10" t="n">
        <v>14</v>
      </c>
      <c r="E269" s="10" t="inlineStr">
        <is>
          <t>ORD-BLR-002001</t>
        </is>
      </c>
      <c r="F269" s="10" t="inlineStr">
        <is>
          <t>ECOM_B2C</t>
        </is>
      </c>
      <c r="G269" s="10" t="inlineStr">
        <is>
          <t>Central Bengaluru</t>
        </is>
      </c>
      <c r="H269" s="10" t="n">
        <v>4.24</v>
      </c>
      <c r="I269" s="10" t="n">
        <v>1080</v>
      </c>
      <c r="J269" s="10" t="n">
        <v>1260</v>
      </c>
      <c r="K269" s="12" t="n">
        <v>1229.7</v>
      </c>
      <c r="L269" s="12" t="n">
        <v>0</v>
      </c>
      <c r="M269" s="10" t="inlineStr">
        <is>
          <t>Yes</t>
        </is>
      </c>
      <c r="N269" s="11" t="n">
        <v>3.649</v>
      </c>
      <c r="O269" s="11" t="n">
        <v>4.926</v>
      </c>
      <c r="P269" s="12" t="n">
        <v>24.4</v>
      </c>
    </row>
    <row r="270">
      <c r="B270" s="16" t="inlineStr">
        <is>
          <t>BLR</t>
        </is>
      </c>
      <c r="C270" s="16" t="inlineStr">
        <is>
          <t>VEH-BLR-018</t>
        </is>
      </c>
      <c r="D270" s="16" t="n">
        <v>1</v>
      </c>
      <c r="E270" s="16" t="inlineStr">
        <is>
          <t>ORD-BLR-002093</t>
        </is>
      </c>
      <c r="F270" s="16" t="inlineStr">
        <is>
          <t>FMCG_RETAIL</t>
        </is>
      </c>
      <c r="G270" s="16" t="inlineStr">
        <is>
          <t>West Bengaluru</t>
        </is>
      </c>
      <c r="H270" s="16" t="n">
        <v>138.52</v>
      </c>
      <c r="I270" s="16" t="n">
        <v>600</v>
      </c>
      <c r="J270" s="16" t="n">
        <v>960</v>
      </c>
      <c r="K270" s="18" t="n">
        <v>600</v>
      </c>
      <c r="L270" s="18" t="n">
        <v>0</v>
      </c>
      <c r="M270" s="16" t="inlineStr">
        <is>
          <t>Yes</t>
        </is>
      </c>
      <c r="N270" s="17" t="n">
        <v>1.713</v>
      </c>
      <c r="O270" s="17" t="n">
        <v>2.313</v>
      </c>
      <c r="P270" s="18" t="n">
        <v>10.7</v>
      </c>
    </row>
    <row r="271">
      <c r="B271" s="10" t="inlineStr">
        <is>
          <t>BLR</t>
        </is>
      </c>
      <c r="C271" s="10" t="inlineStr">
        <is>
          <t>VEH-BLR-018</t>
        </is>
      </c>
      <c r="D271" s="10" t="n">
        <v>2</v>
      </c>
      <c r="E271" s="10" t="inlineStr">
        <is>
          <t>ORD-BLR-002089</t>
        </is>
      </c>
      <c r="F271" s="10" t="inlineStr">
        <is>
          <t>FMCG_RETAIL</t>
        </is>
      </c>
      <c r="G271" s="10" t="inlineStr">
        <is>
          <t>West Bengaluru</t>
        </is>
      </c>
      <c r="H271" s="10" t="n">
        <v>128.75</v>
      </c>
      <c r="I271" s="10" t="n">
        <v>540</v>
      </c>
      <c r="J271" s="10" t="n">
        <v>780</v>
      </c>
      <c r="K271" s="12" t="n">
        <v>642.6</v>
      </c>
      <c r="L271" s="12" t="n">
        <v>0</v>
      </c>
      <c r="M271" s="10" t="inlineStr">
        <is>
          <t>Yes</t>
        </is>
      </c>
      <c r="N271" s="11" t="n">
        <v>4.451</v>
      </c>
      <c r="O271" s="11" t="n">
        <v>6.009</v>
      </c>
      <c r="P271" s="12" t="n">
        <v>27.7</v>
      </c>
    </row>
    <row r="272">
      <c r="B272" s="16" t="inlineStr">
        <is>
          <t>BLR</t>
        </is>
      </c>
      <c r="C272" s="16" t="inlineStr">
        <is>
          <t>VEH-BLR-018</t>
        </is>
      </c>
      <c r="D272" s="16" t="n">
        <v>3</v>
      </c>
      <c r="E272" s="16" t="inlineStr">
        <is>
          <t>ORD-BLR-002113</t>
        </is>
      </c>
      <c r="F272" s="16" t="inlineStr">
        <is>
          <t>FMCG_RETAIL</t>
        </is>
      </c>
      <c r="G272" s="16" t="inlineStr">
        <is>
          <t>East Bengaluru</t>
        </is>
      </c>
      <c r="H272" s="16" t="n">
        <v>122.05</v>
      </c>
      <c r="I272" s="16" t="n">
        <v>540</v>
      </c>
      <c r="J272" s="16" t="n">
        <v>780</v>
      </c>
      <c r="K272" s="18" t="n">
        <v>714.1</v>
      </c>
      <c r="L272" s="18" t="n">
        <v>0</v>
      </c>
      <c r="M272" s="16" t="inlineStr">
        <is>
          <t>Yes</t>
        </is>
      </c>
      <c r="N272" s="17" t="n">
        <v>9.047000000000001</v>
      </c>
      <c r="O272" s="17" t="n">
        <v>12.214</v>
      </c>
      <c r="P272" s="18" t="n">
        <v>57</v>
      </c>
    </row>
    <row r="273">
      <c r="B273" s="10" t="inlineStr">
        <is>
          <t>BLR</t>
        </is>
      </c>
      <c r="C273" s="10" t="inlineStr">
        <is>
          <t>VEH-BLR-018</t>
        </is>
      </c>
      <c r="D273" s="10" t="n">
        <v>4</v>
      </c>
      <c r="E273" s="10" t="inlineStr">
        <is>
          <t>ORD-BLR-002088</t>
        </is>
      </c>
      <c r="F273" s="10" t="inlineStr">
        <is>
          <t>FMCG_RETAIL</t>
        </is>
      </c>
      <c r="G273" s="10" t="inlineStr">
        <is>
          <t>East Bengaluru</t>
        </is>
      </c>
      <c r="H273" s="10" t="n">
        <v>140.53</v>
      </c>
      <c r="I273" s="10" t="n">
        <v>540</v>
      </c>
      <c r="J273" s="10" t="n">
        <v>780</v>
      </c>
      <c r="K273" s="12" t="n">
        <v>753.1</v>
      </c>
      <c r="L273" s="12" t="n">
        <v>0</v>
      </c>
      <c r="M273" s="10" t="inlineStr">
        <is>
          <t>Yes</t>
        </is>
      </c>
      <c r="N273" s="11" t="n">
        <v>6.431</v>
      </c>
      <c r="O273" s="11" t="n">
        <v>8.682</v>
      </c>
      <c r="P273" s="12" t="n">
        <v>24.8</v>
      </c>
    </row>
    <row r="274">
      <c r="B274" s="16" t="inlineStr">
        <is>
          <t>BLR</t>
        </is>
      </c>
      <c r="C274" s="16" t="inlineStr">
        <is>
          <t>VEH-BLR-018</t>
        </is>
      </c>
      <c r="D274" s="16" t="n">
        <v>5</v>
      </c>
      <c r="E274" s="16" t="inlineStr">
        <is>
          <t>ORD-BLR-002078</t>
        </is>
      </c>
      <c r="F274" s="16" t="inlineStr">
        <is>
          <t>FMCG_RETAIL</t>
        </is>
      </c>
      <c r="G274" s="16" t="inlineStr">
        <is>
          <t>East Bengaluru</t>
        </is>
      </c>
      <c r="H274" s="16" t="n">
        <v>73.79000000000001</v>
      </c>
      <c r="I274" s="16" t="n">
        <v>540</v>
      </c>
      <c r="J274" s="16" t="n">
        <v>780</v>
      </c>
      <c r="K274" s="18" t="n">
        <v>771.8</v>
      </c>
      <c r="L274" s="18" t="n">
        <v>0</v>
      </c>
      <c r="M274" s="16" t="inlineStr">
        <is>
          <t>Yes</t>
        </is>
      </c>
      <c r="N274" s="17" t="n">
        <v>0.986</v>
      </c>
      <c r="O274" s="17" t="n">
        <v>1.331</v>
      </c>
      <c r="P274" s="18" t="n">
        <v>3.8</v>
      </c>
    </row>
    <row r="275">
      <c r="B275" s="10" t="inlineStr">
        <is>
          <t>BLR</t>
        </is>
      </c>
      <c r="C275" s="10" t="inlineStr">
        <is>
          <t>VEH-BLR-018</t>
        </is>
      </c>
      <c r="D275" s="10" t="n">
        <v>6</v>
      </c>
      <c r="E275" s="10" t="inlineStr">
        <is>
          <t>ORD-BLR-002108</t>
        </is>
      </c>
      <c r="F275" s="10" t="inlineStr">
        <is>
          <t>FMCG_RETAIL</t>
        </is>
      </c>
      <c r="G275" s="10" t="inlineStr">
        <is>
          <t>East Bengaluru</t>
        </is>
      </c>
      <c r="H275" s="10" t="n">
        <v>77.05</v>
      </c>
      <c r="I275" s="10" t="n">
        <v>540</v>
      </c>
      <c r="J275" s="10" t="n">
        <v>780</v>
      </c>
      <c r="K275" s="12" t="n">
        <v>807.4</v>
      </c>
      <c r="L275" s="12" t="n">
        <v>27.4</v>
      </c>
      <c r="M275" s="10" t="inlineStr">
        <is>
          <t>No</t>
        </is>
      </c>
      <c r="N275" s="11" t="n">
        <v>5.983</v>
      </c>
      <c r="O275" s="11" t="n">
        <v>8.077</v>
      </c>
      <c r="P275" s="12" t="n">
        <v>23</v>
      </c>
    </row>
    <row r="276">
      <c r="B276" s="16" t="inlineStr">
        <is>
          <t>BLR</t>
        </is>
      </c>
      <c r="C276" s="16" t="inlineStr">
        <is>
          <t>VEH-BLR-018</t>
        </is>
      </c>
      <c r="D276" s="16" t="n">
        <v>7</v>
      </c>
      <c r="E276" s="16" t="inlineStr">
        <is>
          <t>ORD-BLR-002091</t>
        </is>
      </c>
      <c r="F276" s="16" t="inlineStr">
        <is>
          <t>FMCG_RETAIL</t>
        </is>
      </c>
      <c r="G276" s="16" t="inlineStr">
        <is>
          <t>East Bengaluru</t>
        </is>
      </c>
      <c r="H276" s="16" t="n">
        <v>69.66</v>
      </c>
      <c r="I276" s="16" t="n">
        <v>600</v>
      </c>
      <c r="J276" s="16" t="n">
        <v>960</v>
      </c>
      <c r="K276" s="18" t="n">
        <v>823</v>
      </c>
      <c r="L276" s="18" t="n">
        <v>0</v>
      </c>
      <c r="M276" s="16" t="inlineStr">
        <is>
          <t>Yes</t>
        </is>
      </c>
      <c r="N276" s="17" t="n">
        <v>0.731</v>
      </c>
      <c r="O276" s="17" t="n">
        <v>0.986</v>
      </c>
      <c r="P276" s="18" t="n">
        <v>2.8</v>
      </c>
    </row>
    <row r="277">
      <c r="B277" s="10" t="inlineStr">
        <is>
          <t>BLR</t>
        </is>
      </c>
      <c r="C277" s="10" t="inlineStr">
        <is>
          <t>VEH-BLR-018</t>
        </is>
      </c>
      <c r="D277" s="10" t="n">
        <v>8</v>
      </c>
      <c r="E277" s="10" t="inlineStr">
        <is>
          <t>ORD-BLR-002087</t>
        </is>
      </c>
      <c r="F277" s="10" t="inlineStr">
        <is>
          <t>FMCG_RETAIL</t>
        </is>
      </c>
      <c r="G277" s="10" t="inlineStr">
        <is>
          <t>East Bengaluru</t>
        </is>
      </c>
      <c r="H277" s="10" t="n">
        <v>52.16</v>
      </c>
      <c r="I277" s="10" t="n">
        <v>840</v>
      </c>
      <c r="J277" s="10" t="n">
        <v>1080</v>
      </c>
      <c r="K277" s="12" t="n">
        <v>838.2</v>
      </c>
      <c r="L277" s="12" t="n">
        <v>0</v>
      </c>
      <c r="M277" s="10" t="inlineStr">
        <is>
          <t>Yes</t>
        </is>
      </c>
      <c r="N277" s="11" t="n">
        <v>0.731</v>
      </c>
      <c r="O277" s="11" t="n">
        <v>0.986</v>
      </c>
      <c r="P277" s="12" t="n">
        <v>2.8</v>
      </c>
    </row>
    <row r="278">
      <c r="B278" s="16" t="inlineStr">
        <is>
          <t>BLR</t>
        </is>
      </c>
      <c r="C278" s="16" t="inlineStr">
        <is>
          <t>VEH-BLR-018</t>
        </is>
      </c>
      <c r="D278" s="16" t="n">
        <v>9</v>
      </c>
      <c r="E278" s="16" t="inlineStr">
        <is>
          <t>ORD-BLR-002079</t>
        </is>
      </c>
      <c r="F278" s="16" t="inlineStr">
        <is>
          <t>FMCG_RETAIL</t>
        </is>
      </c>
      <c r="G278" s="16" t="inlineStr">
        <is>
          <t>East Bengaluru</t>
        </is>
      </c>
      <c r="H278" s="16" t="n">
        <v>173.13</v>
      </c>
      <c r="I278" s="16" t="n">
        <v>840</v>
      </c>
      <c r="J278" s="16" t="n">
        <v>1080</v>
      </c>
      <c r="K278" s="18" t="n">
        <v>854.4</v>
      </c>
      <c r="L278" s="18" t="n">
        <v>0</v>
      </c>
      <c r="M278" s="16" t="inlineStr">
        <is>
          <t>Yes</t>
        </is>
      </c>
      <c r="N278" s="17" t="n">
        <v>0.656</v>
      </c>
      <c r="O278" s="17" t="n">
        <v>0.885</v>
      </c>
      <c r="P278" s="18" t="n">
        <v>2.5</v>
      </c>
    </row>
    <row r="279">
      <c r="B279" s="10" t="inlineStr">
        <is>
          <t>BLR</t>
        </is>
      </c>
      <c r="C279" s="10" t="inlineStr">
        <is>
          <t>VEH-BLR-018</t>
        </is>
      </c>
      <c r="D279" s="10" t="n">
        <v>10</v>
      </c>
      <c r="E279" s="10" t="inlineStr">
        <is>
          <t>ORD-BLR-002103</t>
        </is>
      </c>
      <c r="F279" s="10" t="inlineStr">
        <is>
          <t>FMCG_RETAIL</t>
        </is>
      </c>
      <c r="G279" s="10" t="inlineStr">
        <is>
          <t>East Bengaluru</t>
        </is>
      </c>
      <c r="H279" s="10" t="n">
        <v>202.28</v>
      </c>
      <c r="I279" s="10" t="n">
        <v>840</v>
      </c>
      <c r="J279" s="10" t="n">
        <v>1080</v>
      </c>
      <c r="K279" s="12" t="n">
        <v>891.1</v>
      </c>
      <c r="L279" s="12" t="n">
        <v>0</v>
      </c>
      <c r="M279" s="10" t="inlineStr">
        <is>
          <t>Yes</t>
        </is>
      </c>
      <c r="N279" s="11" t="n">
        <v>5.368</v>
      </c>
      <c r="O279" s="11" t="n">
        <v>7.247</v>
      </c>
      <c r="P279" s="12" t="n">
        <v>20.7</v>
      </c>
    </row>
    <row r="280">
      <c r="B280" s="16" t="inlineStr">
        <is>
          <t>BLR</t>
        </is>
      </c>
      <c r="C280" s="16" t="inlineStr">
        <is>
          <t>VEH-BLR-018</t>
        </is>
      </c>
      <c r="D280" s="16" t="n">
        <v>11</v>
      </c>
      <c r="E280" s="16" t="inlineStr">
        <is>
          <t>ORD-BLR-002106</t>
        </is>
      </c>
      <c r="F280" s="16" t="inlineStr">
        <is>
          <t>FMCG_RETAIL</t>
        </is>
      </c>
      <c r="G280" s="16" t="inlineStr">
        <is>
          <t>East Bengaluru</t>
        </is>
      </c>
      <c r="H280" s="16" t="n">
        <v>181.62</v>
      </c>
      <c r="I280" s="16" t="n">
        <v>600</v>
      </c>
      <c r="J280" s="16" t="n">
        <v>960</v>
      </c>
      <c r="K280" s="18" t="n">
        <v>908.2</v>
      </c>
      <c r="L280" s="18" t="n">
        <v>0</v>
      </c>
      <c r="M280" s="16" t="inlineStr">
        <is>
          <t>Yes</t>
        </is>
      </c>
      <c r="N280" s="17" t="n">
        <v>0</v>
      </c>
      <c r="O280" s="17" t="n">
        <v>0</v>
      </c>
      <c r="P280" s="18" t="n">
        <v>0</v>
      </c>
    </row>
    <row r="281">
      <c r="B281" s="10" t="inlineStr">
        <is>
          <t>BLR</t>
        </is>
      </c>
      <c r="C281" s="10" t="inlineStr">
        <is>
          <t>VEH-BLR-018</t>
        </is>
      </c>
      <c r="D281" s="10" t="n">
        <v>12</v>
      </c>
      <c r="E281" s="10" t="inlineStr">
        <is>
          <t>ORD-BLR-002112</t>
        </is>
      </c>
      <c r="F281" s="10" t="inlineStr">
        <is>
          <t>FMCG_RETAIL</t>
        </is>
      </c>
      <c r="G281" s="10" t="inlineStr">
        <is>
          <t>East Bengaluru</t>
        </is>
      </c>
      <c r="H281" s="10" t="n">
        <v>91.90000000000001</v>
      </c>
      <c r="I281" s="10" t="n">
        <v>840</v>
      </c>
      <c r="J281" s="10" t="n">
        <v>1080</v>
      </c>
      <c r="K281" s="12" t="n">
        <v>927</v>
      </c>
      <c r="L281" s="12" t="n">
        <v>0</v>
      </c>
      <c r="M281" s="10" t="inlineStr">
        <is>
          <t>Yes</t>
        </is>
      </c>
      <c r="N281" s="11" t="n">
        <v>0.657</v>
      </c>
      <c r="O281" s="11" t="n">
        <v>0.887</v>
      </c>
      <c r="P281" s="12" t="n">
        <v>2.5</v>
      </c>
    </row>
    <row r="282">
      <c r="B282" s="16" t="inlineStr">
        <is>
          <t>BLR</t>
        </is>
      </c>
      <c r="C282" s="16" t="inlineStr">
        <is>
          <t>VEH-BLR-018</t>
        </is>
      </c>
      <c r="D282" s="16" t="n">
        <v>13</v>
      </c>
      <c r="E282" s="16" t="inlineStr">
        <is>
          <t>ORD-BLR-002083</t>
        </is>
      </c>
      <c r="F282" s="16" t="inlineStr">
        <is>
          <t>FMCG_RETAIL</t>
        </is>
      </c>
      <c r="G282" s="16" t="inlineStr">
        <is>
          <t>East Bengaluru</t>
        </is>
      </c>
      <c r="H282" s="16" t="n">
        <v>87.53</v>
      </c>
      <c r="I282" s="16" t="n">
        <v>840</v>
      </c>
      <c r="J282" s="16" t="n">
        <v>1080</v>
      </c>
      <c r="K282" s="18" t="n">
        <v>959.3</v>
      </c>
      <c r="L282" s="18" t="n">
        <v>0</v>
      </c>
      <c r="M282" s="16" t="inlineStr">
        <is>
          <t>Yes</t>
        </is>
      </c>
      <c r="N282" s="17" t="n">
        <v>4.947</v>
      </c>
      <c r="O282" s="17" t="n">
        <v>6.679</v>
      </c>
      <c r="P282" s="18" t="n">
        <v>19</v>
      </c>
    </row>
    <row r="283">
      <c r="B283" s="10" t="inlineStr">
        <is>
          <t>BLR</t>
        </is>
      </c>
      <c r="C283" s="10" t="inlineStr">
        <is>
          <t>VEH-BLR-018</t>
        </is>
      </c>
      <c r="D283" s="10" t="n">
        <v>14</v>
      </c>
      <c r="E283" s="10" t="inlineStr">
        <is>
          <t>ORD-BLR-002084</t>
        </is>
      </c>
      <c r="F283" s="10" t="inlineStr">
        <is>
          <t>FMCG_RETAIL</t>
        </is>
      </c>
      <c r="G283" s="10" t="inlineStr">
        <is>
          <t>East Bengaluru</t>
        </is>
      </c>
      <c r="H283" s="10" t="n">
        <v>65.19</v>
      </c>
      <c r="I283" s="10" t="n">
        <v>840</v>
      </c>
      <c r="J283" s="10" t="n">
        <v>1080</v>
      </c>
      <c r="K283" s="12" t="n">
        <v>991.2</v>
      </c>
      <c r="L283" s="12" t="n">
        <v>0</v>
      </c>
      <c r="M283" s="10" t="inlineStr">
        <is>
          <t>Yes</t>
        </is>
      </c>
      <c r="N283" s="11" t="n">
        <v>4.897</v>
      </c>
      <c r="O283" s="11" t="n">
        <v>6.611</v>
      </c>
      <c r="P283" s="12" t="n">
        <v>18.9</v>
      </c>
    </row>
    <row r="284">
      <c r="B284" s="16" t="inlineStr">
        <is>
          <t>BLR</t>
        </is>
      </c>
      <c r="C284" s="16" t="inlineStr">
        <is>
          <t>VEH-BLR-019</t>
        </is>
      </c>
      <c r="D284" s="16" t="n">
        <v>1</v>
      </c>
      <c r="E284" s="16" t="inlineStr">
        <is>
          <t>ORD-BLR-002080</t>
        </is>
      </c>
      <c r="F284" s="16" t="inlineStr">
        <is>
          <t>FMCG_RETAIL</t>
        </is>
      </c>
      <c r="G284" s="16" t="inlineStr">
        <is>
          <t>South Bengaluru</t>
        </is>
      </c>
      <c r="H284" s="16" t="n">
        <v>80.29000000000001</v>
      </c>
      <c r="I284" s="16" t="n">
        <v>540</v>
      </c>
      <c r="J284" s="16" t="n">
        <v>780</v>
      </c>
      <c r="K284" s="18" t="n">
        <v>498.3</v>
      </c>
      <c r="L284" s="18" t="n">
        <v>0</v>
      </c>
      <c r="M284" s="16" t="inlineStr">
        <is>
          <t>Yes</t>
        </is>
      </c>
      <c r="N284" s="17" t="n">
        <v>15.022</v>
      </c>
      <c r="O284" s="17" t="n">
        <v>20.28</v>
      </c>
      <c r="P284" s="18" t="n">
        <v>52.1</v>
      </c>
    </row>
    <row r="285">
      <c r="B285" s="10" t="inlineStr">
        <is>
          <t>BLR</t>
        </is>
      </c>
      <c r="C285" s="10" t="inlineStr">
        <is>
          <t>VEH-BLR-019</t>
        </is>
      </c>
      <c r="D285" s="10" t="n">
        <v>2</v>
      </c>
      <c r="E285" s="10" t="inlineStr">
        <is>
          <t>ORD-BLR-002094</t>
        </is>
      </c>
      <c r="F285" s="10" t="inlineStr">
        <is>
          <t>FMCG_RETAIL</t>
        </is>
      </c>
      <c r="G285" s="10" t="inlineStr">
        <is>
          <t>South Bengaluru</t>
        </is>
      </c>
      <c r="H285" s="10" t="n">
        <v>469.69</v>
      </c>
      <c r="I285" s="10" t="n">
        <v>540</v>
      </c>
      <c r="J285" s="10" t="n">
        <v>780</v>
      </c>
      <c r="K285" s="12" t="n">
        <v>552.8</v>
      </c>
      <c r="L285" s="12" t="n">
        <v>0</v>
      </c>
      <c r="M285" s="10" t="inlineStr">
        <is>
          <t>Yes</t>
        </is>
      </c>
      <c r="N285" s="11" t="n">
        <v>0</v>
      </c>
      <c r="O285" s="11" t="n">
        <v>0</v>
      </c>
      <c r="P285" s="12" t="n">
        <v>0</v>
      </c>
    </row>
    <row r="286">
      <c r="B286" s="16" t="inlineStr">
        <is>
          <t>BLR</t>
        </is>
      </c>
      <c r="C286" s="16" t="inlineStr">
        <is>
          <t>VEH-BLR-019</t>
        </is>
      </c>
      <c r="D286" s="16" t="n">
        <v>3</v>
      </c>
      <c r="E286" s="16" t="inlineStr">
        <is>
          <t>ORD-BLR-002100</t>
        </is>
      </c>
      <c r="F286" s="16" t="inlineStr">
        <is>
          <t>FMCG_RETAIL</t>
        </is>
      </c>
      <c r="G286" s="16" t="inlineStr">
        <is>
          <t>South Bengaluru</t>
        </is>
      </c>
      <c r="H286" s="16" t="n">
        <v>232.45</v>
      </c>
      <c r="I286" s="16" t="n">
        <v>600</v>
      </c>
      <c r="J286" s="16" t="n">
        <v>960</v>
      </c>
      <c r="K286" s="18" t="n">
        <v>579.2</v>
      </c>
      <c r="L286" s="18" t="n">
        <v>0</v>
      </c>
      <c r="M286" s="16" t="inlineStr">
        <is>
          <t>Yes</t>
        </is>
      </c>
      <c r="N286" s="17" t="n">
        <v>0</v>
      </c>
      <c r="O286" s="17" t="n">
        <v>0</v>
      </c>
      <c r="P286" s="18" t="n">
        <v>0</v>
      </c>
    </row>
    <row r="287">
      <c r="B287" s="10" t="inlineStr">
        <is>
          <t>BLR</t>
        </is>
      </c>
      <c r="C287" s="10" t="inlineStr">
        <is>
          <t>VEH-BLR-019</t>
        </is>
      </c>
      <c r="D287" s="10" t="n">
        <v>4</v>
      </c>
      <c r="E287" s="10" t="inlineStr">
        <is>
          <t>ORD-BLR-002107</t>
        </is>
      </c>
      <c r="F287" s="10" t="inlineStr">
        <is>
          <t>FMCG_RETAIL</t>
        </is>
      </c>
      <c r="G287" s="10" t="inlineStr">
        <is>
          <t>South Bengaluru</t>
        </is>
      </c>
      <c r="H287" s="10" t="n">
        <v>116.57</v>
      </c>
      <c r="I287" s="10" t="n">
        <v>600</v>
      </c>
      <c r="J287" s="10" t="n">
        <v>960</v>
      </c>
      <c r="K287" s="12" t="n">
        <v>618.1</v>
      </c>
      <c r="L287" s="12" t="n">
        <v>0</v>
      </c>
      <c r="M287" s="10" t="inlineStr">
        <is>
          <t>Yes</t>
        </is>
      </c>
      <c r="N287" s="11" t="n">
        <v>0</v>
      </c>
      <c r="O287" s="11" t="n">
        <v>0</v>
      </c>
      <c r="P287" s="12" t="n">
        <v>0</v>
      </c>
    </row>
    <row r="288">
      <c r="B288" s="16" t="inlineStr">
        <is>
          <t>BLR</t>
        </is>
      </c>
      <c r="C288" s="16" t="inlineStr">
        <is>
          <t>VEH-BLR-019</t>
        </is>
      </c>
      <c r="D288" s="16" t="n">
        <v>5</v>
      </c>
      <c r="E288" s="16" t="inlineStr">
        <is>
          <t>ORD-BLR-002096</t>
        </is>
      </c>
      <c r="F288" s="16" t="inlineStr">
        <is>
          <t>FMCG_RETAIL</t>
        </is>
      </c>
      <c r="G288" s="16" t="inlineStr">
        <is>
          <t>South Bengaluru</t>
        </is>
      </c>
      <c r="H288" s="16" t="n">
        <v>156.92</v>
      </c>
      <c r="I288" s="16" t="n">
        <v>540</v>
      </c>
      <c r="J288" s="16" t="n">
        <v>780</v>
      </c>
      <c r="K288" s="18" t="n">
        <v>649</v>
      </c>
      <c r="L288" s="18" t="n">
        <v>0</v>
      </c>
      <c r="M288" s="16" t="inlineStr">
        <is>
          <t>Yes</t>
        </is>
      </c>
      <c r="N288" s="17" t="n">
        <v>2.69</v>
      </c>
      <c r="O288" s="17" t="n">
        <v>3.631</v>
      </c>
      <c r="P288" s="18" t="n">
        <v>16.8</v>
      </c>
    </row>
    <row r="289">
      <c r="B289" s="10" t="inlineStr">
        <is>
          <t>BLR</t>
        </is>
      </c>
      <c r="C289" s="10" t="inlineStr">
        <is>
          <t>VEH-BLR-019</t>
        </is>
      </c>
      <c r="D289" s="10" t="n">
        <v>6</v>
      </c>
      <c r="E289" s="10" t="inlineStr">
        <is>
          <t>ORD-BLR-002085</t>
        </is>
      </c>
      <c r="F289" s="10" t="inlineStr">
        <is>
          <t>FMCG_RETAIL</t>
        </is>
      </c>
      <c r="G289" s="10" t="inlineStr">
        <is>
          <t>South Bengaluru</t>
        </is>
      </c>
      <c r="H289" s="10" t="n">
        <v>291.6</v>
      </c>
      <c r="I289" s="10" t="n">
        <v>540</v>
      </c>
      <c r="J289" s="10" t="n">
        <v>780</v>
      </c>
      <c r="K289" s="12" t="n">
        <v>667.6</v>
      </c>
      <c r="L289" s="12" t="n">
        <v>0</v>
      </c>
      <c r="M289" s="10" t="inlineStr">
        <is>
          <t>Yes</t>
        </is>
      </c>
      <c r="N289" s="11" t="n">
        <v>0.8149999999999999</v>
      </c>
      <c r="O289" s="11" t="n">
        <v>1.1</v>
      </c>
      <c r="P289" s="12" t="n">
        <v>3.1</v>
      </c>
    </row>
    <row r="290">
      <c r="B290" s="16" t="inlineStr">
        <is>
          <t>BLR</t>
        </is>
      </c>
      <c r="C290" s="16" t="inlineStr">
        <is>
          <t>VEH-BLR-019</t>
        </is>
      </c>
      <c r="D290" s="16" t="n">
        <v>7</v>
      </c>
      <c r="E290" s="16" t="inlineStr">
        <is>
          <t>ORD-BLR-002095</t>
        </is>
      </c>
      <c r="F290" s="16" t="inlineStr">
        <is>
          <t>FMCG_RETAIL</t>
        </is>
      </c>
      <c r="G290" s="16" t="inlineStr">
        <is>
          <t>South Bengaluru</t>
        </is>
      </c>
      <c r="H290" s="16" t="n">
        <v>118.08</v>
      </c>
      <c r="I290" s="16" t="n">
        <v>840</v>
      </c>
      <c r="J290" s="16" t="n">
        <v>1080</v>
      </c>
      <c r="K290" s="18" t="n">
        <v>687.8</v>
      </c>
      <c r="L290" s="18" t="n">
        <v>0</v>
      </c>
      <c r="M290" s="16" t="inlineStr">
        <is>
          <t>Yes</t>
        </is>
      </c>
      <c r="N290" s="17" t="n">
        <v>0</v>
      </c>
      <c r="O290" s="17" t="n">
        <v>0</v>
      </c>
      <c r="P290" s="18" t="n">
        <v>0</v>
      </c>
    </row>
    <row r="291">
      <c r="B291" s="10" t="inlineStr">
        <is>
          <t>BLR</t>
        </is>
      </c>
      <c r="C291" s="10" t="inlineStr">
        <is>
          <t>VEH-BLR-019</t>
        </is>
      </c>
      <c r="D291" s="10" t="n">
        <v>8</v>
      </c>
      <c r="E291" s="10" t="inlineStr">
        <is>
          <t>ORD-BLR-002092</t>
        </is>
      </c>
      <c r="F291" s="10" t="inlineStr">
        <is>
          <t>FMCG_RETAIL</t>
        </is>
      </c>
      <c r="G291" s="10" t="inlineStr">
        <is>
          <t>South Bengaluru</t>
        </is>
      </c>
      <c r="H291" s="10" t="n">
        <v>217.01</v>
      </c>
      <c r="I291" s="10" t="n">
        <v>840</v>
      </c>
      <c r="J291" s="10" t="n">
        <v>1080</v>
      </c>
      <c r="K291" s="12" t="n">
        <v>854.1</v>
      </c>
      <c r="L291" s="12" t="n">
        <v>0</v>
      </c>
      <c r="M291" s="10" t="inlineStr">
        <is>
          <t>Yes</t>
        </is>
      </c>
      <c r="N291" s="11" t="n">
        <v>0</v>
      </c>
      <c r="O291" s="11" t="n">
        <v>0</v>
      </c>
      <c r="P291" s="12" t="n">
        <v>0</v>
      </c>
    </row>
    <row r="292">
      <c r="B292" s="16" t="inlineStr">
        <is>
          <t>BLR</t>
        </is>
      </c>
      <c r="C292" s="16" t="inlineStr">
        <is>
          <t>VEH-BLR-019</t>
        </is>
      </c>
      <c r="D292" s="16" t="n">
        <v>9</v>
      </c>
      <c r="E292" s="16" t="inlineStr">
        <is>
          <t>ORD-BLR-002097</t>
        </is>
      </c>
      <c r="F292" s="16" t="inlineStr">
        <is>
          <t>FMCG_RETAIL</t>
        </is>
      </c>
      <c r="G292" s="16" t="inlineStr">
        <is>
          <t>South Bengaluru</t>
        </is>
      </c>
      <c r="H292" s="16" t="n">
        <v>222.78</v>
      </c>
      <c r="I292" s="16" t="n">
        <v>840</v>
      </c>
      <c r="J292" s="16" t="n">
        <v>1080</v>
      </c>
      <c r="K292" s="18" t="n">
        <v>874.2</v>
      </c>
      <c r="L292" s="18" t="n">
        <v>0</v>
      </c>
      <c r="M292" s="16" t="inlineStr">
        <is>
          <t>Yes</t>
        </is>
      </c>
      <c r="N292" s="17" t="n">
        <v>0.638</v>
      </c>
      <c r="O292" s="17" t="n">
        <v>0.861</v>
      </c>
      <c r="P292" s="18" t="n">
        <v>2.4</v>
      </c>
    </row>
    <row r="293">
      <c r="B293" s="10" t="inlineStr">
        <is>
          <t>BLR</t>
        </is>
      </c>
      <c r="C293" s="10" t="inlineStr">
        <is>
          <t>VEH-BLR-019</t>
        </is>
      </c>
      <c r="D293" s="10" t="n">
        <v>10</v>
      </c>
      <c r="E293" s="10" t="inlineStr">
        <is>
          <t>ORD-BLR-002111</t>
        </is>
      </c>
      <c r="F293" s="10" t="inlineStr">
        <is>
          <t>FMCG_RETAIL</t>
        </is>
      </c>
      <c r="G293" s="10" t="inlineStr">
        <is>
          <t>South Bengaluru</t>
        </is>
      </c>
      <c r="H293" s="10" t="n">
        <v>66.75</v>
      </c>
      <c r="I293" s="10" t="n">
        <v>840</v>
      </c>
      <c r="J293" s="10" t="n">
        <v>1080</v>
      </c>
      <c r="K293" s="12" t="n">
        <v>892</v>
      </c>
      <c r="L293" s="12" t="n">
        <v>0</v>
      </c>
      <c r="M293" s="10" t="inlineStr">
        <is>
          <t>Yes</t>
        </is>
      </c>
      <c r="N293" s="11" t="n">
        <v>0</v>
      </c>
      <c r="O293" s="11" t="n">
        <v>0</v>
      </c>
      <c r="P293" s="12" t="n">
        <v>0</v>
      </c>
    </row>
    <row r="294">
      <c r="B294" s="16" t="inlineStr">
        <is>
          <t>BLR</t>
        </is>
      </c>
      <c r="C294" s="16" t="inlineStr">
        <is>
          <t>VEH-BLR-019</t>
        </is>
      </c>
      <c r="D294" s="16" t="n">
        <v>11</v>
      </c>
      <c r="E294" s="16" t="inlineStr">
        <is>
          <t>ORD-BLR-001947</t>
        </is>
      </c>
      <c r="F294" s="16" t="inlineStr">
        <is>
          <t>ECOM_B2C</t>
        </is>
      </c>
      <c r="G294" s="16" t="inlineStr">
        <is>
          <t>West Bengaluru</t>
        </is>
      </c>
      <c r="H294" s="16" t="n">
        <v>4.48</v>
      </c>
      <c r="I294" s="16" t="n">
        <v>900</v>
      </c>
      <c r="J294" s="16" t="n">
        <v>1080</v>
      </c>
      <c r="K294" s="18" t="n">
        <v>941.1</v>
      </c>
      <c r="L294" s="18" t="n">
        <v>0</v>
      </c>
      <c r="M294" s="16" t="inlineStr">
        <is>
          <t>Yes</t>
        </is>
      </c>
      <c r="N294" s="17" t="n">
        <v>9.662000000000001</v>
      </c>
      <c r="O294" s="17" t="n">
        <v>13.043</v>
      </c>
      <c r="P294" s="18" t="n">
        <v>36.8</v>
      </c>
    </row>
    <row r="295">
      <c r="B295" s="10" t="inlineStr">
        <is>
          <t>BLR</t>
        </is>
      </c>
      <c r="C295" s="10" t="inlineStr">
        <is>
          <t>VEH-BLR-021</t>
        </is>
      </c>
      <c r="D295" s="10" t="n">
        <v>1</v>
      </c>
      <c r="E295" s="10" t="inlineStr">
        <is>
          <t>ORD-BLR-002099</t>
        </is>
      </c>
      <c r="F295" s="10" t="inlineStr">
        <is>
          <t>FMCG_RETAIL</t>
        </is>
      </c>
      <c r="G295" s="10" t="inlineStr">
        <is>
          <t>West Bengaluru</t>
        </is>
      </c>
      <c r="H295" s="10" t="n">
        <v>84.48</v>
      </c>
      <c r="I295" s="10" t="n">
        <v>540</v>
      </c>
      <c r="J295" s="10" t="n">
        <v>780</v>
      </c>
      <c r="K295" s="12" t="n">
        <v>540</v>
      </c>
      <c r="L295" s="12" t="n">
        <v>0</v>
      </c>
      <c r="M295" s="10" t="inlineStr">
        <is>
          <t>Yes</t>
        </is>
      </c>
      <c r="N295" s="11" t="n">
        <v>5.791</v>
      </c>
      <c r="O295" s="11" t="n">
        <v>7.818</v>
      </c>
      <c r="P295" s="12" t="n">
        <v>33.5</v>
      </c>
    </row>
    <row r="296">
      <c r="B296" s="16" t="inlineStr">
        <is>
          <t>BLR</t>
        </is>
      </c>
      <c r="C296" s="16" t="inlineStr">
        <is>
          <t>VEH-BLR-021</t>
        </is>
      </c>
      <c r="D296" s="16" t="n">
        <v>2</v>
      </c>
      <c r="E296" s="16" t="inlineStr">
        <is>
          <t>ORD-BLR-002055</t>
        </is>
      </c>
      <c r="F296" s="16" t="inlineStr">
        <is>
          <t>ECOM_B2C</t>
        </is>
      </c>
      <c r="G296" s="16" t="inlineStr">
        <is>
          <t>West Bengaluru</t>
        </is>
      </c>
      <c r="H296" s="16" t="n">
        <v>2.15</v>
      </c>
      <c r="I296" s="16" t="n">
        <v>540</v>
      </c>
      <c r="J296" s="16" t="n">
        <v>720</v>
      </c>
      <c r="K296" s="18" t="n">
        <v>566.1</v>
      </c>
      <c r="L296" s="18" t="n">
        <v>0</v>
      </c>
      <c r="M296" s="16" t="inlineStr">
        <is>
          <t>Yes</t>
        </is>
      </c>
      <c r="N296" s="17" t="n">
        <v>2.278</v>
      </c>
      <c r="O296" s="17" t="n">
        <v>3.075</v>
      </c>
      <c r="P296" s="18" t="n">
        <v>13.2</v>
      </c>
    </row>
    <row r="297">
      <c r="B297" s="10" t="inlineStr">
        <is>
          <t>BLR</t>
        </is>
      </c>
      <c r="C297" s="10" t="inlineStr">
        <is>
          <t>VEH-BLR-021</t>
        </is>
      </c>
      <c r="D297" s="10" t="n">
        <v>3</v>
      </c>
      <c r="E297" s="10" t="inlineStr">
        <is>
          <t>ORD-BLR-001951</t>
        </is>
      </c>
      <c r="F297" s="10" t="inlineStr">
        <is>
          <t>ECOM_B2C</t>
        </is>
      </c>
      <c r="G297" s="10" t="inlineStr">
        <is>
          <t>West Bengaluru</t>
        </is>
      </c>
      <c r="H297" s="10" t="n">
        <v>0.32</v>
      </c>
      <c r="I297" s="10" t="n">
        <v>540</v>
      </c>
      <c r="J297" s="10" t="n">
        <v>720</v>
      </c>
      <c r="K297" s="12" t="n">
        <v>572</v>
      </c>
      <c r="L297" s="12" t="n">
        <v>0</v>
      </c>
      <c r="M297" s="10" t="inlineStr">
        <is>
          <t>Yes</t>
        </is>
      </c>
      <c r="N297" s="11" t="n">
        <v>0.317</v>
      </c>
      <c r="O297" s="11" t="n">
        <v>0.427</v>
      </c>
      <c r="P297" s="12" t="n">
        <v>1.8</v>
      </c>
    </row>
    <row r="298">
      <c r="B298" s="16" t="inlineStr">
        <is>
          <t>BLR</t>
        </is>
      </c>
      <c r="C298" s="16" t="inlineStr">
        <is>
          <t>VEH-BLR-021</t>
        </is>
      </c>
      <c r="D298" s="16" t="n">
        <v>4</v>
      </c>
      <c r="E298" s="16" t="inlineStr">
        <is>
          <t>ORD-BLR-002090</t>
        </is>
      </c>
      <c r="F298" s="16" t="inlineStr">
        <is>
          <t>FMCG_RETAIL</t>
        </is>
      </c>
      <c r="G298" s="16" t="inlineStr">
        <is>
          <t>West Bengaluru</t>
        </is>
      </c>
      <c r="H298" s="16" t="n">
        <v>48.63</v>
      </c>
      <c r="I298" s="16" t="n">
        <v>540</v>
      </c>
      <c r="J298" s="16" t="n">
        <v>780</v>
      </c>
      <c r="K298" s="18" t="n">
        <v>582.7</v>
      </c>
      <c r="L298" s="18" t="n">
        <v>0</v>
      </c>
      <c r="M298" s="16" t="inlineStr">
        <is>
          <t>Yes</t>
        </is>
      </c>
      <c r="N298" s="17" t="n">
        <v>1.156</v>
      </c>
      <c r="O298" s="17" t="n">
        <v>1.561</v>
      </c>
      <c r="P298" s="18" t="n">
        <v>6.7</v>
      </c>
    </row>
    <row r="299">
      <c r="B299" s="10" t="inlineStr">
        <is>
          <t>BLR</t>
        </is>
      </c>
      <c r="C299" s="10" t="inlineStr">
        <is>
          <t>VEH-BLR-021</t>
        </is>
      </c>
      <c r="D299" s="10" t="n">
        <v>5</v>
      </c>
      <c r="E299" s="10" t="inlineStr">
        <is>
          <t>ORD-BLR-002110</t>
        </is>
      </c>
      <c r="F299" s="10" t="inlineStr">
        <is>
          <t>FMCG_RETAIL</t>
        </is>
      </c>
      <c r="G299" s="10" t="inlineStr">
        <is>
          <t>West Bengaluru</t>
        </is>
      </c>
      <c r="H299" s="10" t="n">
        <v>470.34</v>
      </c>
      <c r="I299" s="10" t="n">
        <v>600</v>
      </c>
      <c r="J299" s="10" t="n">
        <v>960</v>
      </c>
      <c r="K299" s="12" t="n">
        <v>643.5</v>
      </c>
      <c r="L299" s="12" t="n">
        <v>0</v>
      </c>
      <c r="M299" s="10" t="inlineStr">
        <is>
          <t>Yes</t>
        </is>
      </c>
      <c r="N299" s="11" t="n">
        <v>8.497999999999999</v>
      </c>
      <c r="O299" s="11" t="n">
        <v>11.473</v>
      </c>
      <c r="P299" s="12" t="n">
        <v>49.2</v>
      </c>
    </row>
    <row r="300">
      <c r="B300" s="16" t="inlineStr">
        <is>
          <t>BLR</t>
        </is>
      </c>
      <c r="C300" s="16" t="inlineStr">
        <is>
          <t>VEH-BLR-021</t>
        </is>
      </c>
      <c r="D300" s="16" t="n">
        <v>6</v>
      </c>
      <c r="E300" s="16" t="inlineStr">
        <is>
          <t>ORD-BLR-001964</t>
        </is>
      </c>
      <c r="F300" s="16" t="inlineStr">
        <is>
          <t>ECOM_B2C</t>
        </is>
      </c>
      <c r="G300" s="16" t="inlineStr">
        <is>
          <t>West Bengaluru</t>
        </is>
      </c>
      <c r="H300" s="16" t="n">
        <v>5.84</v>
      </c>
      <c r="I300" s="16" t="n">
        <v>540</v>
      </c>
      <c r="J300" s="16" t="n">
        <v>720</v>
      </c>
      <c r="K300" s="18" t="n">
        <v>671.4</v>
      </c>
      <c r="L300" s="18" t="n">
        <v>0</v>
      </c>
      <c r="M300" s="16" t="inlineStr">
        <is>
          <t>Yes</t>
        </is>
      </c>
      <c r="N300" s="17" t="n">
        <v>0.41</v>
      </c>
      <c r="O300" s="17" t="n">
        <v>0.554</v>
      </c>
      <c r="P300" s="18" t="n">
        <v>1.5</v>
      </c>
    </row>
    <row r="301">
      <c r="B301" s="10" t="inlineStr">
        <is>
          <t>BLR</t>
        </is>
      </c>
      <c r="C301" s="10" t="inlineStr">
        <is>
          <t>VEH-BLR-021</t>
        </is>
      </c>
      <c r="D301" s="10" t="n">
        <v>7</v>
      </c>
      <c r="E301" s="10" t="inlineStr">
        <is>
          <t>ORD-BLR-002057</t>
        </is>
      </c>
      <c r="F301" s="10" t="inlineStr">
        <is>
          <t>ECOM_B2C</t>
        </is>
      </c>
      <c r="G301" s="10" t="inlineStr">
        <is>
          <t>West Bengaluru</t>
        </is>
      </c>
      <c r="H301" s="10" t="n">
        <v>2.1</v>
      </c>
      <c r="I301" s="10" t="n">
        <v>600</v>
      </c>
      <c r="J301" s="10" t="n">
        <v>720</v>
      </c>
      <c r="K301" s="12" t="n">
        <v>677.8</v>
      </c>
      <c r="L301" s="12" t="n">
        <v>0</v>
      </c>
      <c r="M301" s="10" t="inlineStr">
        <is>
          <t>Yes</t>
        </is>
      </c>
      <c r="N301" s="11" t="n">
        <v>0.672</v>
      </c>
      <c r="O301" s="11" t="n">
        <v>0.907</v>
      </c>
      <c r="P301" s="12" t="n">
        <v>2.4</v>
      </c>
    </row>
    <row r="302">
      <c r="B302" s="16" t="inlineStr">
        <is>
          <t>BLR</t>
        </is>
      </c>
      <c r="C302" s="16" t="inlineStr">
        <is>
          <t>VEH-BLR-021</t>
        </is>
      </c>
      <c r="D302" s="16" t="n">
        <v>8</v>
      </c>
      <c r="E302" s="16" t="inlineStr">
        <is>
          <t>ORD-BLR-002016</t>
        </is>
      </c>
      <c r="F302" s="16" t="inlineStr">
        <is>
          <t>ECOM_B2C</t>
        </is>
      </c>
      <c r="G302" s="16" t="inlineStr">
        <is>
          <t>West Bengaluru</t>
        </is>
      </c>
      <c r="H302" s="16" t="n">
        <v>4.77</v>
      </c>
      <c r="I302" s="16" t="n">
        <v>720</v>
      </c>
      <c r="J302" s="16" t="n">
        <v>900</v>
      </c>
      <c r="K302" s="18" t="n">
        <v>683.9</v>
      </c>
      <c r="L302" s="18" t="n">
        <v>0</v>
      </c>
      <c r="M302" s="16" t="inlineStr">
        <is>
          <t>Yes</t>
        </is>
      </c>
      <c r="N302" s="17" t="n">
        <v>0.576</v>
      </c>
      <c r="O302" s="17" t="n">
        <v>0.777</v>
      </c>
      <c r="P302" s="18" t="n">
        <v>2</v>
      </c>
    </row>
    <row r="303">
      <c r="B303" s="10" t="inlineStr">
        <is>
          <t>BLR</t>
        </is>
      </c>
      <c r="C303" s="10" t="inlineStr">
        <is>
          <t>VEH-BLR-021</t>
        </is>
      </c>
      <c r="D303" s="10" t="n">
        <v>9</v>
      </c>
      <c r="E303" s="10" t="inlineStr">
        <is>
          <t>ORD-BLR-002059</t>
        </is>
      </c>
      <c r="F303" s="10" t="inlineStr">
        <is>
          <t>ECOM_B2C</t>
        </is>
      </c>
      <c r="G303" s="10" t="inlineStr">
        <is>
          <t>West Bengaluru</t>
        </is>
      </c>
      <c r="H303" s="10" t="n">
        <v>1.97</v>
      </c>
      <c r="I303" s="10" t="n">
        <v>720</v>
      </c>
      <c r="J303" s="10" t="n">
        <v>900</v>
      </c>
      <c r="K303" s="12" t="n">
        <v>752.9</v>
      </c>
      <c r="L303" s="12" t="n">
        <v>0</v>
      </c>
      <c r="M303" s="10" t="inlineStr">
        <is>
          <t>Yes</t>
        </is>
      </c>
      <c r="N303" s="11" t="n">
        <v>8.179</v>
      </c>
      <c r="O303" s="11" t="n">
        <v>11.041</v>
      </c>
      <c r="P303" s="12" t="n">
        <v>28.9</v>
      </c>
    </row>
    <row r="304">
      <c r="B304" s="16" t="inlineStr">
        <is>
          <t>BLR</t>
        </is>
      </c>
      <c r="C304" s="16" t="inlineStr">
        <is>
          <t>VEH-BLR-021</t>
        </is>
      </c>
      <c r="D304" s="16" t="n">
        <v>10</v>
      </c>
      <c r="E304" s="16" t="inlineStr">
        <is>
          <t>ORD-BLR-002045</t>
        </is>
      </c>
      <c r="F304" s="16" t="inlineStr">
        <is>
          <t>ECOM_B2C</t>
        </is>
      </c>
      <c r="G304" s="16" t="inlineStr">
        <is>
          <t>West Bengaluru</t>
        </is>
      </c>
      <c r="H304" s="16" t="n">
        <v>25</v>
      </c>
      <c r="I304" s="16" t="n">
        <v>720</v>
      </c>
      <c r="J304" s="16" t="n">
        <v>900</v>
      </c>
      <c r="K304" s="18" t="n">
        <v>759.4</v>
      </c>
      <c r="L304" s="18" t="n">
        <v>0</v>
      </c>
      <c r="M304" s="16" t="inlineStr">
        <is>
          <t>Yes</t>
        </is>
      </c>
      <c r="N304" s="17" t="n">
        <v>0.715</v>
      </c>
      <c r="O304" s="17" t="n">
        <v>0.965</v>
      </c>
      <c r="P304" s="18" t="n">
        <v>2.5</v>
      </c>
    </row>
    <row r="305">
      <c r="B305" s="10" t="inlineStr">
        <is>
          <t>BLR</t>
        </is>
      </c>
      <c r="C305" s="10" t="inlineStr">
        <is>
          <t>VEH-BLR-021</t>
        </is>
      </c>
      <c r="D305" s="10" t="n">
        <v>11</v>
      </c>
      <c r="E305" s="10" t="inlineStr">
        <is>
          <t>ORD-BLR-002060</t>
        </is>
      </c>
      <c r="F305" s="10" t="inlineStr">
        <is>
          <t>ECOM_B2C</t>
        </is>
      </c>
      <c r="G305" s="10" t="inlineStr">
        <is>
          <t>West Bengaluru</t>
        </is>
      </c>
      <c r="H305" s="10" t="n">
        <v>0.26</v>
      </c>
      <c r="I305" s="10" t="n">
        <v>720</v>
      </c>
      <c r="J305" s="10" t="n">
        <v>900</v>
      </c>
      <c r="K305" s="12" t="n">
        <v>767.2</v>
      </c>
      <c r="L305" s="12" t="n">
        <v>0</v>
      </c>
      <c r="M305" s="10" t="inlineStr">
        <is>
          <t>Yes</t>
        </is>
      </c>
      <c r="N305" s="11" t="n">
        <v>1.064</v>
      </c>
      <c r="O305" s="11" t="n">
        <v>1.437</v>
      </c>
      <c r="P305" s="12" t="n">
        <v>3.8</v>
      </c>
    </row>
    <row r="306">
      <c r="B306" s="16" t="inlineStr">
        <is>
          <t>BLR</t>
        </is>
      </c>
      <c r="C306" s="16" t="inlineStr">
        <is>
          <t>VEH-BLR-021</t>
        </is>
      </c>
      <c r="D306" s="16" t="n">
        <v>12</v>
      </c>
      <c r="E306" s="16" t="inlineStr">
        <is>
          <t>ORD-BLR-001958</t>
        </is>
      </c>
      <c r="F306" s="16" t="inlineStr">
        <is>
          <t>ECOM_B2C</t>
        </is>
      </c>
      <c r="G306" s="16" t="inlineStr">
        <is>
          <t>West Bengaluru</t>
        </is>
      </c>
      <c r="H306" s="16" t="n">
        <v>2.33</v>
      </c>
      <c r="I306" s="16" t="n">
        <v>720</v>
      </c>
      <c r="J306" s="16" t="n">
        <v>900</v>
      </c>
      <c r="K306" s="18" t="n">
        <v>792.6</v>
      </c>
      <c r="L306" s="18" t="n">
        <v>0</v>
      </c>
      <c r="M306" s="16" t="inlineStr">
        <is>
          <t>Yes</t>
        </is>
      </c>
      <c r="N306" s="17" t="n">
        <v>6.039</v>
      </c>
      <c r="O306" s="17" t="n">
        <v>8.153</v>
      </c>
      <c r="P306" s="18" t="n">
        <v>21.4</v>
      </c>
    </row>
    <row r="307">
      <c r="B307" s="10" t="inlineStr">
        <is>
          <t>BLR</t>
        </is>
      </c>
      <c r="C307" s="10" t="inlineStr">
        <is>
          <t>VEH-BLR-021</t>
        </is>
      </c>
      <c r="D307" s="10" t="n">
        <v>13</v>
      </c>
      <c r="E307" s="10" t="inlineStr">
        <is>
          <t>ORD-BLR-001989</t>
        </is>
      </c>
      <c r="F307" s="10" t="inlineStr">
        <is>
          <t>ECOM_B2C</t>
        </is>
      </c>
      <c r="G307" s="10" t="inlineStr">
        <is>
          <t>Central Bengaluru</t>
        </is>
      </c>
      <c r="H307" s="10" t="n">
        <v>3.84</v>
      </c>
      <c r="I307" s="10" t="n">
        <v>720</v>
      </c>
      <c r="J307" s="10" t="n">
        <v>900</v>
      </c>
      <c r="K307" s="12" t="n">
        <v>814.3</v>
      </c>
      <c r="L307" s="12" t="n">
        <v>0</v>
      </c>
      <c r="M307" s="10" t="inlineStr">
        <is>
          <t>Yes</t>
        </is>
      </c>
      <c r="N307" s="11" t="n">
        <v>4.939</v>
      </c>
      <c r="O307" s="11" t="n">
        <v>6.668</v>
      </c>
      <c r="P307" s="12" t="n">
        <v>17.7</v>
      </c>
    </row>
    <row r="308">
      <c r="B308" s="16" t="inlineStr">
        <is>
          <t>BLR</t>
        </is>
      </c>
      <c r="C308" s="16" t="inlineStr">
        <is>
          <t>VEH-BLR-021</t>
        </is>
      </c>
      <c r="D308" s="16" t="n">
        <v>14</v>
      </c>
      <c r="E308" s="16" t="inlineStr">
        <is>
          <t>ORD-BLR-001959</t>
        </is>
      </c>
      <c r="F308" s="16" t="inlineStr">
        <is>
          <t>ECOM_B2C</t>
        </is>
      </c>
      <c r="G308" s="16" t="inlineStr">
        <is>
          <t>Central Bengaluru</t>
        </is>
      </c>
      <c r="H308" s="16" t="n">
        <v>5.04</v>
      </c>
      <c r="I308" s="16" t="n">
        <v>720</v>
      </c>
      <c r="J308" s="16" t="n">
        <v>900</v>
      </c>
      <c r="K308" s="18" t="n">
        <v>819.1</v>
      </c>
      <c r="L308" s="18" t="n">
        <v>0</v>
      </c>
      <c r="M308" s="16" t="inlineStr">
        <is>
          <t>Yes</t>
        </is>
      </c>
      <c r="N308" s="17" t="n">
        <v>0.211</v>
      </c>
      <c r="O308" s="17" t="n">
        <v>0.285</v>
      </c>
      <c r="P308" s="18" t="n">
        <v>0.8</v>
      </c>
    </row>
    <row r="309">
      <c r="B309" s="10" t="inlineStr">
        <is>
          <t>BLR</t>
        </is>
      </c>
      <c r="C309" s="10" t="inlineStr">
        <is>
          <t>VEH-BLR-021</t>
        </is>
      </c>
      <c r="D309" s="10" t="n">
        <v>15</v>
      </c>
      <c r="E309" s="10" t="inlineStr">
        <is>
          <t>ORD-BLR-002010</t>
        </is>
      </c>
      <c r="F309" s="10" t="inlineStr">
        <is>
          <t>ECOM_B2C</t>
        </is>
      </c>
      <c r="G309" s="10" t="inlineStr">
        <is>
          <t>Central Bengaluru</t>
        </is>
      </c>
      <c r="H309" s="10" t="n">
        <v>1.41</v>
      </c>
      <c r="I309" s="10" t="n">
        <v>720</v>
      </c>
      <c r="J309" s="10" t="n">
        <v>900</v>
      </c>
      <c r="K309" s="12" t="n">
        <v>824.3</v>
      </c>
      <c r="L309" s="12" t="n">
        <v>0</v>
      </c>
      <c r="M309" s="10" t="inlineStr">
        <is>
          <t>Yes</t>
        </is>
      </c>
      <c r="N309" s="11" t="n">
        <v>0.342</v>
      </c>
      <c r="O309" s="11" t="n">
        <v>0.461</v>
      </c>
      <c r="P309" s="12" t="n">
        <v>1.2</v>
      </c>
    </row>
    <row r="310">
      <c r="B310" s="16" t="inlineStr">
        <is>
          <t>BLR</t>
        </is>
      </c>
      <c r="C310" s="16" t="inlineStr">
        <is>
          <t>VEH-BLR-021</t>
        </is>
      </c>
      <c r="D310" s="16" t="n">
        <v>16</v>
      </c>
      <c r="E310" s="16" t="inlineStr">
        <is>
          <t>ORD-BLR-002086</t>
        </is>
      </c>
      <c r="F310" s="16" t="inlineStr">
        <is>
          <t>FMCG_RETAIL</t>
        </is>
      </c>
      <c r="G310" s="16" t="inlineStr">
        <is>
          <t>Central Bengaluru</t>
        </is>
      </c>
      <c r="H310" s="16" t="n">
        <v>72.83</v>
      </c>
      <c r="I310" s="16" t="n">
        <v>600</v>
      </c>
      <c r="J310" s="16" t="n">
        <v>960</v>
      </c>
      <c r="K310" s="18" t="n">
        <v>841.3</v>
      </c>
      <c r="L310" s="18" t="n">
        <v>0</v>
      </c>
      <c r="M310" s="16" t="inlineStr">
        <is>
          <t>Yes</t>
        </is>
      </c>
      <c r="N310" s="17" t="n">
        <v>3.634</v>
      </c>
      <c r="O310" s="17" t="n">
        <v>4.906</v>
      </c>
      <c r="P310" s="18" t="n">
        <v>13</v>
      </c>
    </row>
    <row r="311">
      <c r="B311" s="10" t="inlineStr">
        <is>
          <t>BLR</t>
        </is>
      </c>
      <c r="C311" s="10" t="inlineStr">
        <is>
          <t>VEH-BLR-021</t>
        </is>
      </c>
      <c r="D311" s="10" t="n">
        <v>17</v>
      </c>
      <c r="E311" s="10" t="inlineStr">
        <is>
          <t>ORD-BLR-002102</t>
        </is>
      </c>
      <c r="F311" s="10" t="inlineStr">
        <is>
          <t>FMCG_RETAIL</t>
        </is>
      </c>
      <c r="G311" s="10" t="inlineStr">
        <is>
          <t>Central Bengaluru</t>
        </is>
      </c>
      <c r="H311" s="10" t="n">
        <v>76.88</v>
      </c>
      <c r="I311" s="10" t="n">
        <v>840</v>
      </c>
      <c r="J311" s="10" t="n">
        <v>1080</v>
      </c>
      <c r="K311" s="12" t="n">
        <v>858.8</v>
      </c>
      <c r="L311" s="12" t="n">
        <v>0</v>
      </c>
      <c r="M311" s="10" t="inlineStr">
        <is>
          <t>Yes</t>
        </is>
      </c>
      <c r="N311" s="11" t="n">
        <v>1.366</v>
      </c>
      <c r="O311" s="11" t="n">
        <v>1.844</v>
      </c>
      <c r="P311" s="12" t="n">
        <v>4.9</v>
      </c>
    </row>
    <row r="312">
      <c r="B312" s="16" t="inlineStr">
        <is>
          <t>BLR</t>
        </is>
      </c>
      <c r="C312" s="16" t="inlineStr">
        <is>
          <t>VEH-BLR-021</t>
        </is>
      </c>
      <c r="D312" s="16" t="n">
        <v>18</v>
      </c>
      <c r="E312" s="16" t="inlineStr">
        <is>
          <t>ORD-BLR-002031</t>
        </is>
      </c>
      <c r="F312" s="16" t="inlineStr">
        <is>
          <t>ECOM_B2C</t>
        </is>
      </c>
      <c r="G312" s="16" t="inlineStr">
        <is>
          <t>North Bengaluru</t>
        </is>
      </c>
      <c r="H312" s="16" t="n">
        <v>0.25</v>
      </c>
      <c r="I312" s="16" t="n">
        <v>720</v>
      </c>
      <c r="J312" s="16" t="n">
        <v>900</v>
      </c>
      <c r="K312" s="18" t="n">
        <v>886.5</v>
      </c>
      <c r="L312" s="18" t="n">
        <v>0</v>
      </c>
      <c r="M312" s="16" t="inlineStr">
        <is>
          <t>Yes</t>
        </is>
      </c>
      <c r="N312" s="17" t="n">
        <v>4.27</v>
      </c>
      <c r="O312" s="17" t="n">
        <v>5.765</v>
      </c>
      <c r="P312" s="18" t="n">
        <v>15.1</v>
      </c>
    </row>
    <row r="313">
      <c r="B313" s="10" t="inlineStr">
        <is>
          <t>BLR</t>
        </is>
      </c>
      <c r="C313" s="10" t="inlineStr">
        <is>
          <t>VEH-BLR-021</t>
        </is>
      </c>
      <c r="D313" s="10" t="n">
        <v>19</v>
      </c>
      <c r="E313" s="10" t="inlineStr">
        <is>
          <t>ORD-BLR-002013</t>
        </is>
      </c>
      <c r="F313" s="10" t="inlineStr">
        <is>
          <t>ECOM_B2C</t>
        </is>
      </c>
      <c r="G313" s="10" t="inlineStr">
        <is>
          <t>North Bengaluru</t>
        </is>
      </c>
      <c r="H313" s="10" t="n">
        <v>2.19</v>
      </c>
      <c r="I313" s="10" t="n">
        <v>840</v>
      </c>
      <c r="J313" s="10" t="n">
        <v>960</v>
      </c>
      <c r="K313" s="12" t="n">
        <v>892.8</v>
      </c>
      <c r="L313" s="12" t="n">
        <v>0</v>
      </c>
      <c r="M313" s="10" t="inlineStr">
        <is>
          <t>Yes</t>
        </is>
      </c>
      <c r="N313" s="11" t="n">
        <v>0.641</v>
      </c>
      <c r="O313" s="11" t="n">
        <v>0.865</v>
      </c>
      <c r="P313" s="12" t="n">
        <v>2.3</v>
      </c>
    </row>
    <row r="314">
      <c r="B314" s="16" t="inlineStr">
        <is>
          <t>BLR</t>
        </is>
      </c>
      <c r="C314" s="16" t="inlineStr">
        <is>
          <t>VEH-BLR-021</t>
        </is>
      </c>
      <c r="D314" s="16" t="n">
        <v>20</v>
      </c>
      <c r="E314" s="16" t="inlineStr">
        <is>
          <t>ORD-BLR-002012</t>
        </is>
      </c>
      <c r="F314" s="16" t="inlineStr">
        <is>
          <t>ECOM_B2C</t>
        </is>
      </c>
      <c r="G314" s="16" t="inlineStr">
        <is>
          <t>North Bengaluru</t>
        </is>
      </c>
      <c r="H314" s="16" t="n">
        <v>1.39</v>
      </c>
      <c r="I314" s="16" t="n">
        <v>720</v>
      </c>
      <c r="J314" s="16" t="n">
        <v>900</v>
      </c>
      <c r="K314" s="18" t="n">
        <v>898.3</v>
      </c>
      <c r="L314" s="18" t="n">
        <v>0</v>
      </c>
      <c r="M314" s="16" t="inlineStr">
        <is>
          <t>Yes</t>
        </is>
      </c>
      <c r="N314" s="17" t="n">
        <v>0.444</v>
      </c>
      <c r="O314" s="17" t="n">
        <v>0.599</v>
      </c>
      <c r="P314" s="18" t="n">
        <v>1.6</v>
      </c>
    </row>
    <row r="315">
      <c r="B315" s="10" t="inlineStr">
        <is>
          <t>BLR</t>
        </is>
      </c>
      <c r="C315" s="10" t="inlineStr">
        <is>
          <t>VEH-BLR-021</t>
        </is>
      </c>
      <c r="D315" s="10" t="n">
        <v>21</v>
      </c>
      <c r="E315" s="10" t="inlineStr">
        <is>
          <t>ORD-BLR-002040</t>
        </is>
      </c>
      <c r="F315" s="10" t="inlineStr">
        <is>
          <t>ECOM_B2C</t>
        </is>
      </c>
      <c r="G315" s="10" t="inlineStr">
        <is>
          <t>Central Bengaluru</t>
        </is>
      </c>
      <c r="H315" s="10" t="n">
        <v>9.01</v>
      </c>
      <c r="I315" s="10" t="n">
        <v>900</v>
      </c>
      <c r="J315" s="10" t="n">
        <v>1080</v>
      </c>
      <c r="K315" s="12" t="n">
        <v>915.2</v>
      </c>
      <c r="L315" s="12" t="n">
        <v>0</v>
      </c>
      <c r="M315" s="10" t="inlineStr">
        <is>
          <t>Yes</t>
        </is>
      </c>
      <c r="N315" s="11" t="n">
        <v>3.589</v>
      </c>
      <c r="O315" s="11" t="n">
        <v>4.845</v>
      </c>
      <c r="P315" s="12" t="n">
        <v>12.9</v>
      </c>
    </row>
    <row r="316">
      <c r="B316" s="16" t="inlineStr">
        <is>
          <t>BLR</t>
        </is>
      </c>
      <c r="C316" s="16" t="inlineStr">
        <is>
          <t>VEH-BLR-021</t>
        </is>
      </c>
      <c r="D316" s="16" t="n">
        <v>22</v>
      </c>
      <c r="E316" s="16" t="inlineStr">
        <is>
          <t>ORD-BLR-002109</t>
        </is>
      </c>
      <c r="F316" s="16" t="inlineStr">
        <is>
          <t>FMCG_RETAIL</t>
        </is>
      </c>
      <c r="G316" s="16" t="inlineStr">
        <is>
          <t>West Bengaluru</t>
        </is>
      </c>
      <c r="H316" s="16" t="n">
        <v>154.45</v>
      </c>
      <c r="I316" s="16" t="n">
        <v>600</v>
      </c>
      <c r="J316" s="16" t="n">
        <v>960</v>
      </c>
      <c r="K316" s="18" t="n">
        <v>934.8</v>
      </c>
      <c r="L316" s="18" t="n">
        <v>0</v>
      </c>
      <c r="M316" s="16" t="inlineStr">
        <is>
          <t>Yes</t>
        </is>
      </c>
      <c r="N316" s="17" t="n">
        <v>4.391</v>
      </c>
      <c r="O316" s="17" t="n">
        <v>5.928</v>
      </c>
      <c r="P316" s="18" t="n">
        <v>15.5</v>
      </c>
    </row>
    <row r="317">
      <c r="B317" s="10" t="inlineStr">
        <is>
          <t>BLR</t>
        </is>
      </c>
      <c r="C317" s="10" t="inlineStr">
        <is>
          <t>VEH-BLR-023</t>
        </is>
      </c>
      <c r="D317" s="10" t="n">
        <v>1</v>
      </c>
      <c r="E317" s="10" t="inlineStr">
        <is>
          <t>ORD-BLR-001969</t>
        </is>
      </c>
      <c r="F317" s="10" t="inlineStr">
        <is>
          <t>ECOM_B2C</t>
        </is>
      </c>
      <c r="G317" s="10" t="inlineStr">
        <is>
          <t>West Bengaluru</t>
        </is>
      </c>
      <c r="H317" s="10" t="n">
        <v>0.92</v>
      </c>
      <c r="I317" s="10" t="n">
        <v>540</v>
      </c>
      <c r="J317" s="10" t="n">
        <v>720</v>
      </c>
      <c r="K317" s="12" t="n">
        <v>540</v>
      </c>
      <c r="L317" s="12" t="n">
        <v>0</v>
      </c>
      <c r="M317" s="10" t="inlineStr">
        <is>
          <t>Yes</t>
        </is>
      </c>
      <c r="N317" s="11" t="n">
        <v>2.7</v>
      </c>
      <c r="O317" s="11" t="n">
        <v>3.645</v>
      </c>
      <c r="P317" s="12" t="n">
        <v>15.6</v>
      </c>
    </row>
    <row r="318">
      <c r="B318" s="16" t="inlineStr">
        <is>
          <t>BLR</t>
        </is>
      </c>
      <c r="C318" s="16" t="inlineStr">
        <is>
          <t>VEH-BLR-023</t>
        </is>
      </c>
      <c r="D318" s="16" t="n">
        <v>2</v>
      </c>
      <c r="E318" s="16" t="inlineStr">
        <is>
          <t>ORD-BLR-001966</t>
        </is>
      </c>
      <c r="F318" s="16" t="inlineStr">
        <is>
          <t>ECOM_B2C</t>
        </is>
      </c>
      <c r="G318" s="16" t="inlineStr">
        <is>
          <t>North Bengaluru</t>
        </is>
      </c>
      <c r="H318" s="16" t="n">
        <v>0.59</v>
      </c>
      <c r="I318" s="16" t="n">
        <v>540</v>
      </c>
      <c r="J318" s="16" t="n">
        <v>720</v>
      </c>
      <c r="K318" s="18" t="n">
        <v>575</v>
      </c>
      <c r="L318" s="18" t="n">
        <v>0</v>
      </c>
      <c r="M318" s="16" t="inlineStr">
        <is>
          <t>Yes</t>
        </is>
      </c>
      <c r="N318" s="17" t="n">
        <v>5.375</v>
      </c>
      <c r="O318" s="17" t="n">
        <v>7.257</v>
      </c>
      <c r="P318" s="18" t="n">
        <v>31</v>
      </c>
    </row>
    <row r="319">
      <c r="B319" s="10" t="inlineStr">
        <is>
          <t>BLR</t>
        </is>
      </c>
      <c r="C319" s="10" t="inlineStr">
        <is>
          <t>VEH-BLR-023</t>
        </is>
      </c>
      <c r="D319" s="10" t="n">
        <v>3</v>
      </c>
      <c r="E319" s="10" t="inlineStr">
        <is>
          <t>ORD-BLR-002048</t>
        </is>
      </c>
      <c r="F319" s="10" t="inlineStr">
        <is>
          <t>ECOM_B2C</t>
        </is>
      </c>
      <c r="G319" s="10" t="inlineStr">
        <is>
          <t>North Bengaluru</t>
        </is>
      </c>
      <c r="H319" s="10" t="n">
        <v>7.98</v>
      </c>
      <c r="I319" s="10" t="n">
        <v>540</v>
      </c>
      <c r="J319" s="10" t="n">
        <v>720</v>
      </c>
      <c r="K319" s="12" t="n">
        <v>580.2</v>
      </c>
      <c r="L319" s="12" t="n">
        <v>0</v>
      </c>
      <c r="M319" s="10" t="inlineStr">
        <is>
          <t>Yes</t>
        </is>
      </c>
      <c r="N319" s="11" t="n">
        <v>0.212</v>
      </c>
      <c r="O319" s="11" t="n">
        <v>0.287</v>
      </c>
      <c r="P319" s="12" t="n">
        <v>1.2</v>
      </c>
    </row>
    <row r="320">
      <c r="B320" s="16" t="inlineStr">
        <is>
          <t>BLR</t>
        </is>
      </c>
      <c r="C320" s="16" t="inlineStr">
        <is>
          <t>VEH-BLR-023</t>
        </is>
      </c>
      <c r="D320" s="16" t="n">
        <v>4</v>
      </c>
      <c r="E320" s="16" t="inlineStr">
        <is>
          <t>ORD-BLR-002082</t>
        </is>
      </c>
      <c r="F320" s="16" t="inlineStr">
        <is>
          <t>FMCG_RETAIL</t>
        </is>
      </c>
      <c r="G320" s="16" t="inlineStr">
        <is>
          <t>North Bengaluru</t>
        </is>
      </c>
      <c r="H320" s="16" t="n">
        <v>138.71</v>
      </c>
      <c r="I320" s="16" t="n">
        <v>600</v>
      </c>
      <c r="J320" s="16" t="n">
        <v>960</v>
      </c>
      <c r="K320" s="18" t="n">
        <v>617.4</v>
      </c>
      <c r="L320" s="18" t="n">
        <v>0</v>
      </c>
      <c r="M320" s="16" t="inlineStr">
        <is>
          <t>Yes</t>
        </is>
      </c>
      <c r="N320" s="17" t="n">
        <v>5.753</v>
      </c>
      <c r="O320" s="17" t="n">
        <v>7.766</v>
      </c>
      <c r="P320" s="18" t="n">
        <v>33.2</v>
      </c>
    </row>
    <row r="321">
      <c r="B321" s="10" t="inlineStr">
        <is>
          <t>BLR</t>
        </is>
      </c>
      <c r="C321" s="10" t="inlineStr">
        <is>
          <t>VEH-BLR-023</t>
        </is>
      </c>
      <c r="D321" s="10" t="n">
        <v>5</v>
      </c>
      <c r="E321" s="10" t="inlineStr">
        <is>
          <t>ORD-BLR-001949</t>
        </is>
      </c>
      <c r="F321" s="10" t="inlineStr">
        <is>
          <t>ECOM_B2C</t>
        </is>
      </c>
      <c r="G321" s="10" t="inlineStr">
        <is>
          <t>North Bengaluru</t>
        </is>
      </c>
      <c r="H321" s="10" t="n">
        <v>13.89</v>
      </c>
      <c r="I321" s="10" t="n">
        <v>600</v>
      </c>
      <c r="J321" s="10" t="n">
        <v>720</v>
      </c>
      <c r="K321" s="12" t="n">
        <v>683.3</v>
      </c>
      <c r="L321" s="12" t="n">
        <v>0</v>
      </c>
      <c r="M321" s="10" t="inlineStr">
        <is>
          <t>Yes</t>
        </is>
      </c>
      <c r="N321" s="11" t="n">
        <v>8.84</v>
      </c>
      <c r="O321" s="11" t="n">
        <v>11.933</v>
      </c>
      <c r="P321" s="12" t="n">
        <v>51</v>
      </c>
    </row>
    <row r="322">
      <c r="B322" s="16" t="inlineStr">
        <is>
          <t>BLR</t>
        </is>
      </c>
      <c r="C322" s="16" t="inlineStr">
        <is>
          <t>VEH-BLR-023</t>
        </is>
      </c>
      <c r="D322" s="16" t="n">
        <v>6</v>
      </c>
      <c r="E322" s="16" t="inlineStr">
        <is>
          <t>ORD-BLR-002038</t>
        </is>
      </c>
      <c r="F322" s="16" t="inlineStr">
        <is>
          <t>ECOM_B2C</t>
        </is>
      </c>
      <c r="G322" s="16" t="inlineStr">
        <is>
          <t>North Bengaluru</t>
        </is>
      </c>
      <c r="H322" s="16" t="n">
        <v>1.95</v>
      </c>
      <c r="I322" s="16" t="n">
        <v>720</v>
      </c>
      <c r="J322" s="16" t="n">
        <v>900</v>
      </c>
      <c r="K322" s="18" t="n">
        <v>689.4</v>
      </c>
      <c r="L322" s="18" t="n">
        <v>0</v>
      </c>
      <c r="M322" s="16" t="inlineStr">
        <is>
          <t>Yes</t>
        </is>
      </c>
      <c r="N322" s="17" t="n">
        <v>0.603</v>
      </c>
      <c r="O322" s="17" t="n">
        <v>0.8139999999999999</v>
      </c>
      <c r="P322" s="18" t="n">
        <v>2.1</v>
      </c>
    </row>
    <row r="323">
      <c r="B323" s="10" t="inlineStr">
        <is>
          <t>BLR</t>
        </is>
      </c>
      <c r="C323" s="10" t="inlineStr">
        <is>
          <t>VEH-BLR-023</t>
        </is>
      </c>
      <c r="D323" s="10" t="n">
        <v>7</v>
      </c>
      <c r="E323" s="10" t="inlineStr">
        <is>
          <t>ORD-BLR-002105</t>
        </is>
      </c>
      <c r="F323" s="10" t="inlineStr">
        <is>
          <t>FMCG_RETAIL</t>
        </is>
      </c>
      <c r="G323" s="10" t="inlineStr">
        <is>
          <t>North Bengaluru</t>
        </is>
      </c>
      <c r="H323" s="10" t="n">
        <v>101.49</v>
      </c>
      <c r="I323" s="10" t="n">
        <v>540</v>
      </c>
      <c r="J323" s="10" t="n">
        <v>780</v>
      </c>
      <c r="K323" s="12" t="n">
        <v>727.3</v>
      </c>
      <c r="L323" s="12" t="n">
        <v>0</v>
      </c>
      <c r="M323" s="10" t="inlineStr">
        <is>
          <t>Yes</t>
        </is>
      </c>
      <c r="N323" s="11" t="n">
        <v>0.946</v>
      </c>
      <c r="O323" s="11" t="n">
        <v>1.277</v>
      </c>
      <c r="P323" s="12" t="n">
        <v>3.3</v>
      </c>
    </row>
    <row r="324">
      <c r="B324" s="16" t="inlineStr">
        <is>
          <t>BLR</t>
        </is>
      </c>
      <c r="C324" s="16" t="inlineStr">
        <is>
          <t>VEH-BLR-023</t>
        </is>
      </c>
      <c r="D324" s="16" t="n">
        <v>8</v>
      </c>
      <c r="E324" s="16" t="inlineStr">
        <is>
          <t>ORD-BLR-002081</t>
        </is>
      </c>
      <c r="F324" s="16" t="inlineStr">
        <is>
          <t>FMCG_RETAIL</t>
        </is>
      </c>
      <c r="G324" s="16" t="inlineStr">
        <is>
          <t>North Bengaluru</t>
        </is>
      </c>
      <c r="H324" s="16" t="n">
        <v>65.54000000000001</v>
      </c>
      <c r="I324" s="16" t="n">
        <v>600</v>
      </c>
      <c r="J324" s="16" t="n">
        <v>960</v>
      </c>
      <c r="K324" s="18" t="n">
        <v>740.9</v>
      </c>
      <c r="L324" s="18" t="n">
        <v>0</v>
      </c>
      <c r="M324" s="16" t="inlineStr">
        <is>
          <t>Yes</t>
        </is>
      </c>
      <c r="N324" s="17" t="n">
        <v>0</v>
      </c>
      <c r="O324" s="17" t="n">
        <v>0</v>
      </c>
      <c r="P324" s="18" t="n">
        <v>0</v>
      </c>
    </row>
    <row r="325">
      <c r="B325" s="10" t="inlineStr">
        <is>
          <t>BLR</t>
        </is>
      </c>
      <c r="C325" s="10" t="inlineStr">
        <is>
          <t>VEH-BLR-023</t>
        </is>
      </c>
      <c r="D325" s="10" t="n">
        <v>9</v>
      </c>
      <c r="E325" s="10" t="inlineStr">
        <is>
          <t>ORD-BLR-002101</t>
        </is>
      </c>
      <c r="F325" s="10" t="inlineStr">
        <is>
          <t>FMCG_RETAIL</t>
        </is>
      </c>
      <c r="G325" s="10" t="inlineStr">
        <is>
          <t>North Bengaluru</t>
        </is>
      </c>
      <c r="H325" s="10" t="n">
        <v>143.08</v>
      </c>
      <c r="I325" s="10" t="n">
        <v>600</v>
      </c>
      <c r="J325" s="10" t="n">
        <v>960</v>
      </c>
      <c r="K325" s="12" t="n">
        <v>756.9</v>
      </c>
      <c r="L325" s="12" t="n">
        <v>0</v>
      </c>
      <c r="M325" s="10" t="inlineStr">
        <is>
          <t>Yes</t>
        </is>
      </c>
      <c r="N325" s="11" t="n">
        <v>1.042</v>
      </c>
      <c r="O325" s="11" t="n">
        <v>1.407</v>
      </c>
      <c r="P325" s="12" t="n">
        <v>3.7</v>
      </c>
    </row>
    <row r="326">
      <c r="B326" s="16" t="inlineStr">
        <is>
          <t>BLR</t>
        </is>
      </c>
      <c r="C326" s="16" t="inlineStr">
        <is>
          <t>VEH-BLR-023</t>
        </is>
      </c>
      <c r="D326" s="16" t="n">
        <v>10</v>
      </c>
      <c r="E326" s="16" t="inlineStr">
        <is>
          <t>ORD-BLR-002077</t>
        </is>
      </c>
      <c r="F326" s="16" t="inlineStr">
        <is>
          <t>FMCG_RETAIL</t>
        </is>
      </c>
      <c r="G326" s="16" t="inlineStr">
        <is>
          <t>North Bengaluru</t>
        </is>
      </c>
      <c r="H326" s="16" t="n">
        <v>85.73999999999999</v>
      </c>
      <c r="I326" s="16" t="n">
        <v>840</v>
      </c>
      <c r="J326" s="16" t="n">
        <v>1080</v>
      </c>
      <c r="K326" s="18" t="n">
        <v>771.9</v>
      </c>
      <c r="L326" s="18" t="n">
        <v>0</v>
      </c>
      <c r="M326" s="16" t="inlineStr">
        <is>
          <t>Yes</t>
        </is>
      </c>
      <c r="N326" s="17" t="n">
        <v>0</v>
      </c>
      <c r="O326" s="17" t="n">
        <v>0</v>
      </c>
      <c r="P326" s="18" t="n">
        <v>0</v>
      </c>
    </row>
    <row r="327">
      <c r="B327" s="10" t="inlineStr">
        <is>
          <t>BLR</t>
        </is>
      </c>
      <c r="C327" s="10" t="inlineStr">
        <is>
          <t>VEH-BLR-023</t>
        </is>
      </c>
      <c r="D327" s="10" t="n">
        <v>11</v>
      </c>
      <c r="E327" s="10" t="inlineStr">
        <is>
          <t>ORD-BLR-002098</t>
        </is>
      </c>
      <c r="F327" s="10" t="inlineStr">
        <is>
          <t>FMCG_RETAIL</t>
        </is>
      </c>
      <c r="G327" s="10" t="inlineStr">
        <is>
          <t>North Bengaluru</t>
        </is>
      </c>
      <c r="H327" s="10" t="n">
        <v>175.68</v>
      </c>
      <c r="I327" s="10" t="n">
        <v>840</v>
      </c>
      <c r="J327" s="10" t="n">
        <v>1080</v>
      </c>
      <c r="K327" s="12" t="n">
        <v>853</v>
      </c>
      <c r="L327" s="12" t="n">
        <v>0</v>
      </c>
      <c r="M327" s="10" t="inlineStr">
        <is>
          <t>Yes</t>
        </is>
      </c>
      <c r="N327" s="11" t="n">
        <v>0</v>
      </c>
      <c r="O327" s="11" t="n">
        <v>0</v>
      </c>
      <c r="P327" s="12" t="n">
        <v>0</v>
      </c>
    </row>
    <row r="328">
      <c r="B328" s="16" t="inlineStr">
        <is>
          <t>BLR</t>
        </is>
      </c>
      <c r="C328" s="16" t="inlineStr">
        <is>
          <t>VEH-BLR-023</t>
        </is>
      </c>
      <c r="D328" s="16" t="n">
        <v>12</v>
      </c>
      <c r="E328" s="16" t="inlineStr">
        <is>
          <t>ORD-BLR-002104</t>
        </is>
      </c>
      <c r="F328" s="16" t="inlineStr">
        <is>
          <t>FMCG_RETAIL</t>
        </is>
      </c>
      <c r="G328" s="16" t="inlineStr">
        <is>
          <t>North Bengaluru</t>
        </is>
      </c>
      <c r="H328" s="16" t="n">
        <v>185.85</v>
      </c>
      <c r="I328" s="16" t="n">
        <v>840</v>
      </c>
      <c r="J328" s="16" t="n">
        <v>1080</v>
      </c>
      <c r="K328" s="18" t="n">
        <v>872.8</v>
      </c>
      <c r="L328" s="18" t="n">
        <v>0</v>
      </c>
      <c r="M328" s="16" t="inlineStr">
        <is>
          <t>Yes</t>
        </is>
      </c>
      <c r="N328" s="17" t="n">
        <v>1.042</v>
      </c>
      <c r="O328" s="17" t="n">
        <v>1.407</v>
      </c>
      <c r="P328" s="18" t="n">
        <v>3.7</v>
      </c>
    </row>
    <row r="329">
      <c r="B329" s="10" t="inlineStr">
        <is>
          <t>BLR</t>
        </is>
      </c>
      <c r="C329" s="10" t="inlineStr">
        <is>
          <t>VEH-BLR-023</t>
        </is>
      </c>
      <c r="D329" s="10" t="n">
        <v>13</v>
      </c>
      <c r="E329" s="10" t="inlineStr">
        <is>
          <t>ORD-BLR-002050</t>
        </is>
      </c>
      <c r="F329" s="10" t="inlineStr">
        <is>
          <t>ECOM_B2C</t>
        </is>
      </c>
      <c r="G329" s="10" t="inlineStr">
        <is>
          <t>North Bengaluru</t>
        </is>
      </c>
      <c r="H329" s="10" t="n">
        <v>1.95</v>
      </c>
      <c r="I329" s="10" t="n">
        <v>900</v>
      </c>
      <c r="J329" s="10" t="n">
        <v>1080</v>
      </c>
      <c r="K329" s="12" t="n">
        <v>891.2</v>
      </c>
      <c r="L329" s="12" t="n">
        <v>0</v>
      </c>
      <c r="M329" s="10" t="inlineStr">
        <is>
          <t>Yes</t>
        </is>
      </c>
      <c r="N329" s="11" t="n">
        <v>0.53</v>
      </c>
      <c r="O329" s="11" t="n">
        <v>0.716</v>
      </c>
      <c r="P329" s="12" t="n">
        <v>1.9</v>
      </c>
    </row>
    <row r="330">
      <c r="B330" s="16" t="inlineStr">
        <is>
          <t>BLR</t>
        </is>
      </c>
      <c r="C330" s="16" t="inlineStr">
        <is>
          <t>VEH-BLR-024</t>
        </is>
      </c>
      <c r="D330" s="16" t="n">
        <v>1</v>
      </c>
      <c r="E330" s="16" t="inlineStr">
        <is>
          <t>ORD-BLR-002049</t>
        </is>
      </c>
      <c r="F330" s="16" t="inlineStr">
        <is>
          <t>ECOM_B2C</t>
        </is>
      </c>
      <c r="G330" s="16" t="inlineStr">
        <is>
          <t>West Bengaluru</t>
        </is>
      </c>
      <c r="H330" s="16" t="n">
        <v>4.14</v>
      </c>
      <c r="I330" s="16" t="n">
        <v>900</v>
      </c>
      <c r="J330" s="16" t="n">
        <v>1080</v>
      </c>
      <c r="K330" s="18" t="n">
        <v>900</v>
      </c>
      <c r="L330" s="18" t="n">
        <v>0</v>
      </c>
      <c r="M330" s="16" t="inlineStr">
        <is>
          <t>Yes</t>
        </is>
      </c>
      <c r="N330" s="17" t="n">
        <v>0.885</v>
      </c>
      <c r="O330" s="17" t="n">
        <v>1.194</v>
      </c>
      <c r="P330" s="18" t="n">
        <v>2.9</v>
      </c>
    </row>
    <row r="331">
      <c r="B331" s="10" t="inlineStr">
        <is>
          <t>BLR</t>
        </is>
      </c>
      <c r="C331" s="10" t="inlineStr">
        <is>
          <t>VEH-BLR-024</t>
        </is>
      </c>
      <c r="D331" s="10" t="n">
        <v>2</v>
      </c>
      <c r="E331" s="10" t="inlineStr">
        <is>
          <t>ORD-BLR-001993</t>
        </is>
      </c>
      <c r="F331" s="10" t="inlineStr">
        <is>
          <t>ECOM_B2C</t>
        </is>
      </c>
      <c r="G331" s="10" t="inlineStr">
        <is>
          <t>West Bengaluru</t>
        </is>
      </c>
      <c r="H331" s="10" t="n">
        <v>1.29</v>
      </c>
      <c r="I331" s="10" t="n">
        <v>900</v>
      </c>
      <c r="J331" s="10" t="n">
        <v>1080</v>
      </c>
      <c r="K331" s="12" t="n">
        <v>909.9</v>
      </c>
      <c r="L331" s="12" t="n">
        <v>0</v>
      </c>
      <c r="M331" s="10" t="inlineStr">
        <is>
          <t>Yes</t>
        </is>
      </c>
      <c r="N331" s="11" t="n">
        <v>1.773</v>
      </c>
      <c r="O331" s="11" t="n">
        <v>2.394</v>
      </c>
      <c r="P331" s="12" t="n">
        <v>5.9</v>
      </c>
    </row>
    <row r="332">
      <c r="B332" s="16" t="inlineStr">
        <is>
          <t>BLR</t>
        </is>
      </c>
      <c r="C332" s="16" t="inlineStr">
        <is>
          <t>VEH-BLR-024</t>
        </is>
      </c>
      <c r="D332" s="16" t="n">
        <v>3</v>
      </c>
      <c r="E332" s="16" t="inlineStr">
        <is>
          <t>ORD-BLR-002076</t>
        </is>
      </c>
      <c r="F332" s="16" t="inlineStr">
        <is>
          <t>ECOM_B2C</t>
        </is>
      </c>
      <c r="G332" s="16" t="inlineStr">
        <is>
          <t>West Bengaluru</t>
        </is>
      </c>
      <c r="H332" s="16" t="n">
        <v>7.23</v>
      </c>
      <c r="I332" s="16" t="n">
        <v>900</v>
      </c>
      <c r="J332" s="16" t="n">
        <v>1080</v>
      </c>
      <c r="K332" s="18" t="n">
        <v>919.1</v>
      </c>
      <c r="L332" s="18" t="n">
        <v>0</v>
      </c>
      <c r="M332" s="16" t="inlineStr">
        <is>
          <t>Yes</t>
        </is>
      </c>
      <c r="N332" s="17" t="n">
        <v>1.576</v>
      </c>
      <c r="O332" s="17" t="n">
        <v>2.128</v>
      </c>
      <c r="P332" s="18" t="n">
        <v>5.2</v>
      </c>
    </row>
    <row r="333">
      <c r="B333" s="10" t="inlineStr">
        <is>
          <t>BLR</t>
        </is>
      </c>
      <c r="C333" s="10" t="inlineStr">
        <is>
          <t>VEH-BLR-024</t>
        </is>
      </c>
      <c r="D333" s="10" t="n">
        <v>4</v>
      </c>
      <c r="E333" s="10" t="inlineStr">
        <is>
          <t>ORD-BLR-001997</t>
        </is>
      </c>
      <c r="F333" s="10" t="inlineStr">
        <is>
          <t>ECOM_B2C</t>
        </is>
      </c>
      <c r="G333" s="10" t="inlineStr">
        <is>
          <t>North Bengaluru</t>
        </is>
      </c>
      <c r="H333" s="10" t="n">
        <v>1.67</v>
      </c>
      <c r="I333" s="10" t="n">
        <v>900</v>
      </c>
      <c r="J333" s="10" t="n">
        <v>1080</v>
      </c>
      <c r="K333" s="12" t="n">
        <v>941.8</v>
      </c>
      <c r="L333" s="12" t="n">
        <v>0</v>
      </c>
      <c r="M333" s="10" t="inlineStr">
        <is>
          <t>Yes</t>
        </is>
      </c>
      <c r="N333" s="11" t="n">
        <v>5.682</v>
      </c>
      <c r="O333" s="11" t="n">
        <v>7.671</v>
      </c>
      <c r="P333" s="12" t="n">
        <v>18.7</v>
      </c>
    </row>
    <row r="334">
      <c r="B334" s="16" t="inlineStr">
        <is>
          <t>BLR</t>
        </is>
      </c>
      <c r="C334" s="16" t="inlineStr">
        <is>
          <t>VEH-BLR-024</t>
        </is>
      </c>
      <c r="D334" s="16" t="n">
        <v>5</v>
      </c>
      <c r="E334" s="16" t="inlineStr">
        <is>
          <t>ORD-BLR-002006</t>
        </is>
      </c>
      <c r="F334" s="16" t="inlineStr">
        <is>
          <t>ECOM_B2C</t>
        </is>
      </c>
      <c r="G334" s="16" t="inlineStr">
        <is>
          <t>North Bengaluru</t>
        </is>
      </c>
      <c r="H334" s="16" t="n">
        <v>1.69</v>
      </c>
      <c r="I334" s="16" t="n">
        <v>900</v>
      </c>
      <c r="J334" s="16" t="n">
        <v>1080</v>
      </c>
      <c r="K334" s="18" t="n">
        <v>951.4</v>
      </c>
      <c r="L334" s="18" t="n">
        <v>0</v>
      </c>
      <c r="M334" s="16" t="inlineStr">
        <is>
          <t>Yes</t>
        </is>
      </c>
      <c r="N334" s="17" t="n">
        <v>1.729</v>
      </c>
      <c r="O334" s="17" t="n">
        <v>2.334</v>
      </c>
      <c r="P334" s="18" t="n">
        <v>5.7</v>
      </c>
    </row>
    <row r="335">
      <c r="B335" s="10" t="inlineStr">
        <is>
          <t>BLR</t>
        </is>
      </c>
      <c r="C335" s="10" t="inlineStr">
        <is>
          <t>VEH-BLR-024</t>
        </is>
      </c>
      <c r="D335" s="10" t="n">
        <v>6</v>
      </c>
      <c r="E335" s="10" t="inlineStr">
        <is>
          <t>ORD-BLR-001990</t>
        </is>
      </c>
      <c r="F335" s="10" t="inlineStr">
        <is>
          <t>ECOM_B2C</t>
        </is>
      </c>
      <c r="G335" s="10" t="inlineStr">
        <is>
          <t>North Bengaluru</t>
        </is>
      </c>
      <c r="H335" s="10" t="n">
        <v>3.16</v>
      </c>
      <c r="I335" s="10" t="n">
        <v>900</v>
      </c>
      <c r="J335" s="10" t="n">
        <v>1080</v>
      </c>
      <c r="K335" s="12" t="n">
        <v>957.3</v>
      </c>
      <c r="L335" s="12" t="n">
        <v>0</v>
      </c>
      <c r="M335" s="10" t="inlineStr">
        <is>
          <t>Yes</t>
        </is>
      </c>
      <c r="N335" s="11" t="n">
        <v>0.552</v>
      </c>
      <c r="O335" s="11" t="n">
        <v>0.745</v>
      </c>
      <c r="P335" s="12" t="n">
        <v>1.8</v>
      </c>
    </row>
    <row r="336">
      <c r="B336" s="16" t="inlineStr">
        <is>
          <t>BLR</t>
        </is>
      </c>
      <c r="C336" s="16" t="inlineStr">
        <is>
          <t>VEH-BLR-024</t>
        </is>
      </c>
      <c r="D336" s="16" t="n">
        <v>7</v>
      </c>
      <c r="E336" s="16" t="inlineStr">
        <is>
          <t>ORD-BLR-001961</t>
        </is>
      </c>
      <c r="F336" s="16" t="inlineStr">
        <is>
          <t>ECOM_B2C</t>
        </is>
      </c>
      <c r="G336" s="16" t="inlineStr">
        <is>
          <t>North Bengaluru</t>
        </is>
      </c>
      <c r="H336" s="16" t="n">
        <v>3.12</v>
      </c>
      <c r="I336" s="16" t="n">
        <v>1080</v>
      </c>
      <c r="J336" s="16" t="n">
        <v>1260</v>
      </c>
      <c r="K336" s="18" t="n">
        <v>961.5</v>
      </c>
      <c r="L336" s="18" t="n">
        <v>0</v>
      </c>
      <c r="M336" s="16" t="inlineStr">
        <is>
          <t>Yes</t>
        </is>
      </c>
      <c r="N336" s="17" t="n">
        <v>0.076</v>
      </c>
      <c r="O336" s="17" t="n">
        <v>0.103</v>
      </c>
      <c r="P336" s="18" t="n">
        <v>0.3</v>
      </c>
    </row>
    <row r="337">
      <c r="B337" s="10" t="inlineStr">
        <is>
          <t>BLR</t>
        </is>
      </c>
      <c r="C337" s="10" t="inlineStr">
        <is>
          <t>VEH-BLR-024</t>
        </is>
      </c>
      <c r="D337" s="10" t="n">
        <v>8</v>
      </c>
      <c r="E337" s="10" t="inlineStr">
        <is>
          <t>ORD-BLR-002043</t>
        </is>
      </c>
      <c r="F337" s="10" t="inlineStr">
        <is>
          <t>ECOM_B2C</t>
        </is>
      </c>
      <c r="G337" s="10" t="inlineStr">
        <is>
          <t>Central Bengaluru</t>
        </is>
      </c>
      <c r="H337" s="10" t="n">
        <v>4.05</v>
      </c>
      <c r="I337" s="10" t="n">
        <v>1080</v>
      </c>
      <c r="J337" s="10" t="n">
        <v>1260</v>
      </c>
      <c r="K337" s="12" t="n">
        <v>1101.1</v>
      </c>
      <c r="L337" s="12" t="n">
        <v>0</v>
      </c>
      <c r="M337" s="10" t="inlineStr">
        <is>
          <t>Yes</t>
        </is>
      </c>
      <c r="N337" s="11" t="n">
        <v>2.551</v>
      </c>
      <c r="O337" s="11" t="n">
        <v>3.443</v>
      </c>
      <c r="P337" s="12" t="n">
        <v>17.1</v>
      </c>
    </row>
    <row r="338">
      <c r="B338" s="16" t="inlineStr">
        <is>
          <t>BLR</t>
        </is>
      </c>
      <c r="C338" s="16" t="inlineStr">
        <is>
          <t>VEH-BLR-024</t>
        </is>
      </c>
      <c r="D338" s="16" t="n">
        <v>9</v>
      </c>
      <c r="E338" s="16" t="inlineStr">
        <is>
          <t>ORD-BLR-002011</t>
        </is>
      </c>
      <c r="F338" s="16" t="inlineStr">
        <is>
          <t>ECOM_B2C</t>
        </is>
      </c>
      <c r="G338" s="16" t="inlineStr">
        <is>
          <t>Central Bengaluru</t>
        </is>
      </c>
      <c r="H338" s="16" t="n">
        <v>6.41</v>
      </c>
      <c r="I338" s="16" t="n">
        <v>1080</v>
      </c>
      <c r="J338" s="16" t="n">
        <v>1200</v>
      </c>
      <c r="K338" s="18" t="n">
        <v>1111.9</v>
      </c>
      <c r="L338" s="18" t="n">
        <v>0</v>
      </c>
      <c r="M338" s="16" t="inlineStr">
        <is>
          <t>Yes</t>
        </is>
      </c>
      <c r="N338" s="17" t="n">
        <v>1.018</v>
      </c>
      <c r="O338" s="17" t="n">
        <v>1.374</v>
      </c>
      <c r="P338" s="18" t="n">
        <v>6.8</v>
      </c>
    </row>
    <row r="339">
      <c r="B339" s="10" t="inlineStr">
        <is>
          <t>BLR</t>
        </is>
      </c>
      <c r="C339" s="10" t="inlineStr">
        <is>
          <t>VEH-BLR-025</t>
        </is>
      </c>
      <c r="D339" s="10" t="n">
        <v>1</v>
      </c>
      <c r="E339" s="10" t="inlineStr">
        <is>
          <t>ORD-BLR-002074</t>
        </is>
      </c>
      <c r="F339" s="10" t="inlineStr">
        <is>
          <t>ECOM_B2C</t>
        </is>
      </c>
      <c r="G339" s="10" t="inlineStr">
        <is>
          <t>West Bengaluru</t>
        </is>
      </c>
      <c r="H339" s="10" t="n">
        <v>0.88</v>
      </c>
      <c r="I339" s="10" t="n">
        <v>900</v>
      </c>
      <c r="J339" s="10" t="n">
        <v>1080</v>
      </c>
      <c r="K339" s="12" t="n">
        <v>900</v>
      </c>
      <c r="L339" s="12" t="n">
        <v>0</v>
      </c>
      <c r="M339" s="10" t="inlineStr">
        <is>
          <t>Yes</t>
        </is>
      </c>
      <c r="N339" s="11" t="n">
        <v>2.086</v>
      </c>
      <c r="O339" s="11" t="n">
        <v>2.816</v>
      </c>
      <c r="P339" s="12" t="n">
        <v>6.9</v>
      </c>
    </row>
    <row r="340">
      <c r="B340" s="16" t="inlineStr">
        <is>
          <t>BLR</t>
        </is>
      </c>
      <c r="C340" s="16" t="inlineStr">
        <is>
          <t>VEH-BLR-025</t>
        </is>
      </c>
      <c r="D340" s="16" t="n">
        <v>2</v>
      </c>
      <c r="E340" s="16" t="inlineStr">
        <is>
          <t>ORD-BLR-001957</t>
        </is>
      </c>
      <c r="F340" s="16" t="inlineStr">
        <is>
          <t>ECOM_B2C</t>
        </is>
      </c>
      <c r="G340" s="16" t="inlineStr">
        <is>
          <t>West Bengaluru</t>
        </is>
      </c>
      <c r="H340" s="16" t="n">
        <v>11.57</v>
      </c>
      <c r="I340" s="16" t="n">
        <v>900</v>
      </c>
      <c r="J340" s="16" t="n">
        <v>1080</v>
      </c>
      <c r="K340" s="18" t="n">
        <v>904</v>
      </c>
      <c r="L340" s="18" t="n">
        <v>0</v>
      </c>
      <c r="M340" s="16" t="inlineStr">
        <is>
          <t>Yes</t>
        </is>
      </c>
      <c r="N340" s="17" t="n">
        <v>0</v>
      </c>
      <c r="O340" s="17" t="n">
        <v>0</v>
      </c>
      <c r="P340" s="18" t="n">
        <v>0</v>
      </c>
    </row>
    <row r="341">
      <c r="B341" s="10" t="inlineStr">
        <is>
          <t>BLR</t>
        </is>
      </c>
      <c r="C341" s="10" t="inlineStr">
        <is>
          <t>VEH-BLR-025</t>
        </is>
      </c>
      <c r="D341" s="10" t="n">
        <v>3</v>
      </c>
      <c r="E341" s="10" t="inlineStr">
        <is>
          <t>ORD-BLR-001972</t>
        </is>
      </c>
      <c r="F341" s="10" t="inlineStr">
        <is>
          <t>ECOM_B2C</t>
        </is>
      </c>
      <c r="G341" s="10" t="inlineStr">
        <is>
          <t>West Bengaluru</t>
        </is>
      </c>
      <c r="H341" s="10" t="n">
        <v>1.99</v>
      </c>
      <c r="I341" s="10" t="n">
        <v>900</v>
      </c>
      <c r="J341" s="10" t="n">
        <v>1080</v>
      </c>
      <c r="K341" s="12" t="n">
        <v>910.1</v>
      </c>
      <c r="L341" s="12" t="n">
        <v>0</v>
      </c>
      <c r="M341" s="10" t="inlineStr">
        <is>
          <t>Yes</t>
        </is>
      </c>
      <c r="N341" s="11" t="n">
        <v>0.644</v>
      </c>
      <c r="O341" s="11" t="n">
        <v>0.87</v>
      </c>
      <c r="P341" s="12" t="n">
        <v>2.1</v>
      </c>
    </row>
    <row r="342">
      <c r="B342" s="16" t="inlineStr">
        <is>
          <t>BLR</t>
        </is>
      </c>
      <c r="C342" s="16" t="inlineStr">
        <is>
          <t>VEH-BLR-025</t>
        </is>
      </c>
      <c r="D342" s="16" t="n">
        <v>4</v>
      </c>
      <c r="E342" s="16" t="inlineStr">
        <is>
          <t>ORD-BLR-002075</t>
        </is>
      </c>
      <c r="F342" s="16" t="inlineStr">
        <is>
          <t>ECOM_B2C</t>
        </is>
      </c>
      <c r="G342" s="16" t="inlineStr">
        <is>
          <t>West Bengaluru</t>
        </is>
      </c>
      <c r="H342" s="16" t="n">
        <v>2.61</v>
      </c>
      <c r="I342" s="16" t="n">
        <v>1080</v>
      </c>
      <c r="J342" s="16" t="n">
        <v>1260</v>
      </c>
      <c r="K342" s="18" t="n">
        <v>914.1</v>
      </c>
      <c r="L342" s="18" t="n">
        <v>0</v>
      </c>
      <c r="M342" s="16" t="inlineStr">
        <is>
          <t>Yes</t>
        </is>
      </c>
      <c r="N342" s="17" t="n">
        <v>0</v>
      </c>
      <c r="O342" s="17" t="n">
        <v>0</v>
      </c>
      <c r="P342" s="18" t="n">
        <v>0</v>
      </c>
    </row>
    <row r="343">
      <c r="B343" s="10" t="inlineStr">
        <is>
          <t>BLR</t>
        </is>
      </c>
      <c r="C343" s="10" t="inlineStr">
        <is>
          <t>VEH-BLR-025</t>
        </is>
      </c>
      <c r="D343" s="10" t="n">
        <v>5</v>
      </c>
      <c r="E343" s="10" t="inlineStr">
        <is>
          <t>ORD-BLR-001992</t>
        </is>
      </c>
      <c r="F343" s="10" t="inlineStr">
        <is>
          <t>ECOM_B2C</t>
        </is>
      </c>
      <c r="G343" s="10" t="inlineStr">
        <is>
          <t>West Bengaluru</t>
        </is>
      </c>
      <c r="H343" s="10" t="n">
        <v>1.18</v>
      </c>
      <c r="I343" s="10" t="n">
        <v>1080</v>
      </c>
      <c r="J343" s="10" t="n">
        <v>1260</v>
      </c>
      <c r="K343" s="12" t="n">
        <v>1085.1</v>
      </c>
      <c r="L343" s="12" t="n">
        <v>0</v>
      </c>
      <c r="M343" s="10" t="inlineStr">
        <is>
          <t>Yes</t>
        </is>
      </c>
      <c r="N343" s="11" t="n">
        <v>0.165</v>
      </c>
      <c r="O343" s="11" t="n">
        <v>0.222</v>
      </c>
      <c r="P343" s="12" t="n">
        <v>1.1</v>
      </c>
    </row>
    <row r="344">
      <c r="B344" s="16" t="inlineStr">
        <is>
          <t>BLR</t>
        </is>
      </c>
      <c r="C344" s="16" t="inlineStr">
        <is>
          <t>VEH-BLR-025</t>
        </is>
      </c>
      <c r="D344" s="16" t="n">
        <v>6</v>
      </c>
      <c r="E344" s="16" t="inlineStr">
        <is>
          <t>ORD-BLR-001996</t>
        </is>
      </c>
      <c r="F344" s="16" t="inlineStr">
        <is>
          <t>ECOM_B2C</t>
        </is>
      </c>
      <c r="G344" s="16" t="inlineStr">
        <is>
          <t>West Bengaluru</t>
        </is>
      </c>
      <c r="H344" s="16" t="n">
        <v>6.48</v>
      </c>
      <c r="I344" s="16" t="n">
        <v>1080</v>
      </c>
      <c r="J344" s="16" t="n">
        <v>1200</v>
      </c>
      <c r="K344" s="18" t="n">
        <v>1116.2</v>
      </c>
      <c r="L344" s="18" t="n">
        <v>0</v>
      </c>
      <c r="M344" s="16" t="inlineStr">
        <is>
          <t>Yes</t>
        </is>
      </c>
      <c r="N344" s="17" t="n">
        <v>4.103</v>
      </c>
      <c r="O344" s="17" t="n">
        <v>5.54</v>
      </c>
      <c r="P344" s="18" t="n">
        <v>27.1</v>
      </c>
    </row>
    <row r="345">
      <c r="B345" s="10" t="inlineStr">
        <is>
          <t>BLR</t>
        </is>
      </c>
      <c r="C345" s="10" t="inlineStr">
        <is>
          <t>VEH-BLR-025</t>
        </is>
      </c>
      <c r="D345" s="10" t="n">
        <v>7</v>
      </c>
      <c r="E345" s="10" t="inlineStr">
        <is>
          <t>ORD-BLR-001967</t>
        </is>
      </c>
      <c r="F345" s="10" t="inlineStr">
        <is>
          <t>ECOM_B2C</t>
        </is>
      </c>
      <c r="G345" s="10" t="inlineStr">
        <is>
          <t>West Bengaluru</t>
        </is>
      </c>
      <c r="H345" s="10" t="n">
        <v>3.06</v>
      </c>
      <c r="I345" s="10" t="n">
        <v>1080</v>
      </c>
      <c r="J345" s="10" t="n">
        <v>1260</v>
      </c>
      <c r="K345" s="12" t="n">
        <v>1120.2</v>
      </c>
      <c r="L345" s="12" t="n">
        <v>0</v>
      </c>
      <c r="M345" s="10" t="inlineStr">
        <is>
          <t>Yes</t>
        </is>
      </c>
      <c r="N345" s="11" t="n">
        <v>0</v>
      </c>
      <c r="O345" s="11" t="n">
        <v>0</v>
      </c>
      <c r="P345" s="12" t="n">
        <v>0</v>
      </c>
    </row>
    <row r="346">
      <c r="B346" s="16" t="inlineStr">
        <is>
          <t>BLR</t>
        </is>
      </c>
      <c r="C346" s="16" t="inlineStr">
        <is>
          <t>VEH-BLR-025</t>
        </is>
      </c>
      <c r="D346" s="16" t="n">
        <v>8</v>
      </c>
      <c r="E346" s="16" t="inlineStr">
        <is>
          <t>ORD-BLR-002000</t>
        </is>
      </c>
      <c r="F346" s="16" t="inlineStr">
        <is>
          <t>ECOM_B2C</t>
        </is>
      </c>
      <c r="G346" s="16" t="inlineStr">
        <is>
          <t>West Bengaluru</t>
        </is>
      </c>
      <c r="H346" s="16" t="n">
        <v>7.59</v>
      </c>
      <c r="I346" s="16" t="n">
        <v>1080</v>
      </c>
      <c r="J346" s="16" t="n">
        <v>1260</v>
      </c>
      <c r="K346" s="18" t="n">
        <v>1200</v>
      </c>
      <c r="L346" s="18" t="n">
        <v>0</v>
      </c>
      <c r="M346" s="16" t="inlineStr">
        <is>
          <t>Yes</t>
        </is>
      </c>
      <c r="N346" s="17" t="n">
        <v>11.491</v>
      </c>
      <c r="O346" s="17" t="n">
        <v>15.512</v>
      </c>
      <c r="P346" s="18" t="n">
        <v>75.90000000000001</v>
      </c>
    </row>
    <row r="347">
      <c r="B347" s="10" t="inlineStr">
        <is>
          <t>CHE</t>
        </is>
      </c>
      <c r="C347" s="10" t="inlineStr">
        <is>
          <t>VEH-CHE-002</t>
        </is>
      </c>
      <c r="D347" s="10" t="n">
        <v>1</v>
      </c>
      <c r="E347" s="10" t="inlineStr">
        <is>
          <t>ORD-CHE-001773</t>
        </is>
      </c>
      <c r="F347" s="10" t="inlineStr">
        <is>
          <t>MODERN_RETAIL</t>
        </is>
      </c>
      <c r="G347" s="10" t="inlineStr">
        <is>
          <t>West Chennai</t>
        </is>
      </c>
      <c r="H347" s="10" t="n">
        <v>100.04</v>
      </c>
      <c r="I347" s="10" t="n">
        <v>600</v>
      </c>
      <c r="J347" s="10" t="n">
        <v>900</v>
      </c>
      <c r="K347" s="12" t="n">
        <v>531.6</v>
      </c>
      <c r="L347" s="12" t="n">
        <v>0</v>
      </c>
      <c r="M347" s="10" t="inlineStr">
        <is>
          <t>Yes</t>
        </is>
      </c>
      <c r="N347" s="11" t="n">
        <v>31.272</v>
      </c>
      <c r="O347" s="11" t="n">
        <v>42.218</v>
      </c>
      <c r="P347" s="12" t="n">
        <v>85.5</v>
      </c>
    </row>
    <row r="348">
      <c r="B348" s="16" t="inlineStr">
        <is>
          <t>CHE</t>
        </is>
      </c>
      <c r="C348" s="16" t="inlineStr">
        <is>
          <t>VEH-CHE-002</t>
        </is>
      </c>
      <c r="D348" s="16" t="n">
        <v>2</v>
      </c>
      <c r="E348" s="16" t="inlineStr">
        <is>
          <t>ORD-CHE-001769</t>
        </is>
      </c>
      <c r="F348" s="16" t="inlineStr">
        <is>
          <t>MODERN_RETAIL</t>
        </is>
      </c>
      <c r="G348" s="16" t="inlineStr">
        <is>
          <t>West Chennai</t>
        </is>
      </c>
      <c r="H348" s="16" t="n">
        <v>310.2</v>
      </c>
      <c r="I348" s="16" t="n">
        <v>480</v>
      </c>
      <c r="J348" s="16" t="n">
        <v>720</v>
      </c>
      <c r="K348" s="18" t="n">
        <v>617.6</v>
      </c>
      <c r="L348" s="18" t="n">
        <v>0</v>
      </c>
      <c r="M348" s="16" t="inlineStr">
        <is>
          <t>Yes</t>
        </is>
      </c>
      <c r="N348" s="17" t="n">
        <v>0.834</v>
      </c>
      <c r="O348" s="17" t="n">
        <v>1.125</v>
      </c>
      <c r="P348" s="18" t="n">
        <v>4.1</v>
      </c>
    </row>
    <row r="349">
      <c r="B349" s="10" t="inlineStr">
        <is>
          <t>CHE</t>
        </is>
      </c>
      <c r="C349" s="10" t="inlineStr">
        <is>
          <t>VEH-CHE-002</t>
        </is>
      </c>
      <c r="D349" s="10" t="n">
        <v>3</v>
      </c>
      <c r="E349" s="10" t="inlineStr">
        <is>
          <t>ORD-CHE-001762</t>
        </is>
      </c>
      <c r="F349" s="10" t="inlineStr">
        <is>
          <t>MODERN_RETAIL</t>
        </is>
      </c>
      <c r="G349" s="10" t="inlineStr">
        <is>
          <t>North Chennai</t>
        </is>
      </c>
      <c r="H349" s="10" t="n">
        <v>238.04</v>
      </c>
      <c r="I349" s="10" t="n">
        <v>480</v>
      </c>
      <c r="J349" s="10" t="n">
        <v>720</v>
      </c>
      <c r="K349" s="12" t="n">
        <v>681.5</v>
      </c>
      <c r="L349" s="12" t="n">
        <v>0</v>
      </c>
      <c r="M349" s="10" t="inlineStr">
        <is>
          <t>Yes</t>
        </is>
      </c>
      <c r="N349" s="11" t="n">
        <v>8.529999999999999</v>
      </c>
      <c r="O349" s="11" t="n">
        <v>11.516</v>
      </c>
      <c r="P349" s="12" t="n">
        <v>43</v>
      </c>
    </row>
    <row r="350">
      <c r="B350" s="16" t="inlineStr">
        <is>
          <t>CHE</t>
        </is>
      </c>
      <c r="C350" s="16" t="inlineStr">
        <is>
          <t>VEH-CHE-002</t>
        </is>
      </c>
      <c r="D350" s="16" t="n">
        <v>4</v>
      </c>
      <c r="E350" s="16" t="inlineStr">
        <is>
          <t>ORD-CHE-001781</t>
        </is>
      </c>
      <c r="F350" s="16" t="inlineStr">
        <is>
          <t>MODERN_RETAIL</t>
        </is>
      </c>
      <c r="G350" s="16" t="inlineStr">
        <is>
          <t>North Chennai</t>
        </is>
      </c>
      <c r="H350" s="16" t="n">
        <v>131.49</v>
      </c>
      <c r="I350" s="16" t="n">
        <v>480</v>
      </c>
      <c r="J350" s="16" t="n">
        <v>720</v>
      </c>
      <c r="K350" s="18" t="n">
        <v>699.8</v>
      </c>
      <c r="L350" s="18" t="n">
        <v>0</v>
      </c>
      <c r="M350" s="16" t="inlineStr">
        <is>
          <t>Yes</t>
        </is>
      </c>
      <c r="N350" s="17" t="n">
        <v>0</v>
      </c>
      <c r="O350" s="17" t="n">
        <v>0</v>
      </c>
      <c r="P350" s="18" t="n">
        <v>0</v>
      </c>
    </row>
    <row r="351">
      <c r="B351" s="10" t="inlineStr">
        <is>
          <t>CHE</t>
        </is>
      </c>
      <c r="C351" s="10" t="inlineStr">
        <is>
          <t>VEH-CHE-002</t>
        </is>
      </c>
      <c r="D351" s="10" t="n">
        <v>5</v>
      </c>
      <c r="E351" s="10" t="inlineStr">
        <is>
          <t>ORD-CHE-001765</t>
        </is>
      </c>
      <c r="F351" s="10" t="inlineStr">
        <is>
          <t>MODERN_RETAIL</t>
        </is>
      </c>
      <c r="G351" s="10" t="inlineStr">
        <is>
          <t>North Chennai</t>
        </is>
      </c>
      <c r="H351" s="10" t="n">
        <v>380.55</v>
      </c>
      <c r="I351" s="10" t="n">
        <v>480</v>
      </c>
      <c r="J351" s="10" t="n">
        <v>720</v>
      </c>
      <c r="K351" s="12" t="n">
        <v>714.4</v>
      </c>
      <c r="L351" s="12" t="n">
        <v>0</v>
      </c>
      <c r="M351" s="10" t="inlineStr">
        <is>
          <t>Yes</t>
        </is>
      </c>
      <c r="N351" s="11" t="n">
        <v>0</v>
      </c>
      <c r="O351" s="11" t="n">
        <v>0</v>
      </c>
      <c r="P351" s="12" t="n">
        <v>0</v>
      </c>
    </row>
    <row r="352">
      <c r="B352" s="16" t="inlineStr">
        <is>
          <t>CHE</t>
        </is>
      </c>
      <c r="C352" s="16" t="inlineStr">
        <is>
          <t>VEH-CHE-002</t>
        </is>
      </c>
      <c r="D352" s="16" t="n">
        <v>6</v>
      </c>
      <c r="E352" s="16" t="inlineStr">
        <is>
          <t>ORD-CHE-001778</t>
        </is>
      </c>
      <c r="F352" s="16" t="inlineStr">
        <is>
          <t>MODERN_RETAIL</t>
        </is>
      </c>
      <c r="G352" s="16" t="inlineStr">
        <is>
          <t>West Chennai</t>
        </is>
      </c>
      <c r="H352" s="16" t="n">
        <v>99.81999999999999</v>
      </c>
      <c r="I352" s="16" t="n">
        <v>600</v>
      </c>
      <c r="J352" s="16" t="n">
        <v>900</v>
      </c>
      <c r="K352" s="18" t="n">
        <v>764.2</v>
      </c>
      <c r="L352" s="18" t="n">
        <v>0</v>
      </c>
      <c r="M352" s="16" t="inlineStr">
        <is>
          <t>Yes</t>
        </is>
      </c>
      <c r="N352" s="17" t="n">
        <v>8.805999999999999</v>
      </c>
      <c r="O352" s="17" t="n">
        <v>11.888</v>
      </c>
      <c r="P352" s="18" t="n">
        <v>26.5</v>
      </c>
    </row>
    <row r="353">
      <c r="B353" s="10" t="inlineStr">
        <is>
          <t>CHE</t>
        </is>
      </c>
      <c r="C353" s="10" t="inlineStr">
        <is>
          <t>VEH-CHE-002</t>
        </is>
      </c>
      <c r="D353" s="10" t="n">
        <v>7</v>
      </c>
      <c r="E353" s="10" t="inlineStr">
        <is>
          <t>ORD-CHE-001798</t>
        </is>
      </c>
      <c r="F353" s="10" t="inlineStr">
        <is>
          <t>AUTOMOTIVE</t>
        </is>
      </c>
      <c r="G353" s="10" t="inlineStr">
        <is>
          <t>West Chennai</t>
        </is>
      </c>
      <c r="H353" s="10" t="n">
        <v>125.19</v>
      </c>
      <c r="I353" s="10" t="n">
        <v>660</v>
      </c>
      <c r="J353" s="10" t="n">
        <v>900</v>
      </c>
      <c r="K353" s="12" t="n">
        <v>780.6</v>
      </c>
      <c r="L353" s="12" t="n">
        <v>0</v>
      </c>
      <c r="M353" s="10" t="inlineStr">
        <is>
          <t>Yes</t>
        </is>
      </c>
      <c r="N353" s="11" t="n">
        <v>0.968</v>
      </c>
      <c r="O353" s="11" t="n">
        <v>1.306</v>
      </c>
      <c r="P353" s="12" t="n">
        <v>2.9</v>
      </c>
    </row>
    <row r="354">
      <c r="B354" s="16" t="inlineStr">
        <is>
          <t>CHE</t>
        </is>
      </c>
      <c r="C354" s="16" t="inlineStr">
        <is>
          <t>VEH-CHE-002</t>
        </is>
      </c>
      <c r="D354" s="16" t="n">
        <v>8</v>
      </c>
      <c r="E354" s="16" t="inlineStr">
        <is>
          <t>ORD-CHE-001774</t>
        </is>
      </c>
      <c r="F354" s="16" t="inlineStr">
        <is>
          <t>MODERN_RETAIL</t>
        </is>
      </c>
      <c r="G354" s="16" t="inlineStr">
        <is>
          <t>West Chennai</t>
        </is>
      </c>
      <c r="H354" s="16" t="n">
        <v>214.1</v>
      </c>
      <c r="I354" s="16" t="n">
        <v>840</v>
      </c>
      <c r="J354" s="16" t="n">
        <v>1080</v>
      </c>
      <c r="K354" s="18" t="n">
        <v>796.3</v>
      </c>
      <c r="L354" s="18" t="n">
        <v>0</v>
      </c>
      <c r="M354" s="16" t="inlineStr">
        <is>
          <t>Yes</t>
        </is>
      </c>
      <c r="N354" s="17" t="n">
        <v>0.427</v>
      </c>
      <c r="O354" s="17" t="n">
        <v>0.576</v>
      </c>
      <c r="P354" s="18" t="n">
        <v>1.3</v>
      </c>
    </row>
    <row r="355">
      <c r="B355" s="10" t="inlineStr">
        <is>
          <t>CHE</t>
        </is>
      </c>
      <c r="C355" s="10" t="inlineStr">
        <is>
          <t>VEH-CHE-002</t>
        </is>
      </c>
      <c r="D355" s="10" t="n">
        <v>9</v>
      </c>
      <c r="E355" s="10" t="inlineStr">
        <is>
          <t>ORD-CHE-001771</t>
        </is>
      </c>
      <c r="F355" s="10" t="inlineStr">
        <is>
          <t>MODERN_RETAIL</t>
        </is>
      </c>
      <c r="G355" s="10" t="inlineStr">
        <is>
          <t>West Chennai</t>
        </is>
      </c>
      <c r="H355" s="10" t="n">
        <v>191.02</v>
      </c>
      <c r="I355" s="10" t="n">
        <v>840</v>
      </c>
      <c r="J355" s="10" t="n">
        <v>1080</v>
      </c>
      <c r="K355" s="12" t="n">
        <v>859.2</v>
      </c>
      <c r="L355" s="12" t="n">
        <v>0</v>
      </c>
      <c r="M355" s="10" t="inlineStr">
        <is>
          <t>Yes</t>
        </is>
      </c>
      <c r="N355" s="11" t="n">
        <v>0.585</v>
      </c>
      <c r="O355" s="11" t="n">
        <v>0.79</v>
      </c>
      <c r="P355" s="12" t="n">
        <v>1.8</v>
      </c>
    </row>
    <row r="356">
      <c r="B356" s="16" t="inlineStr">
        <is>
          <t>CHE</t>
        </is>
      </c>
      <c r="C356" s="16" t="inlineStr">
        <is>
          <t>VEH-CHE-002</t>
        </is>
      </c>
      <c r="D356" s="16" t="n">
        <v>10</v>
      </c>
      <c r="E356" s="16" t="inlineStr">
        <is>
          <t>ORD-CHE-001766</t>
        </is>
      </c>
      <c r="F356" s="16" t="inlineStr">
        <is>
          <t>MODERN_RETAIL</t>
        </is>
      </c>
      <c r="G356" s="16" t="inlineStr">
        <is>
          <t>West Chennai</t>
        </is>
      </c>
      <c r="H356" s="16" t="n">
        <v>138.38</v>
      </c>
      <c r="I356" s="16" t="n">
        <v>840</v>
      </c>
      <c r="J356" s="16" t="n">
        <v>1080</v>
      </c>
      <c r="K356" s="18" t="n">
        <v>877.1</v>
      </c>
      <c r="L356" s="18" t="n">
        <v>0</v>
      </c>
      <c r="M356" s="16" t="inlineStr">
        <is>
          <t>Yes</t>
        </is>
      </c>
      <c r="N356" s="17" t="n">
        <v>0.37</v>
      </c>
      <c r="O356" s="17" t="n">
        <v>0.499</v>
      </c>
      <c r="P356" s="18" t="n">
        <v>1.1</v>
      </c>
    </row>
    <row r="357">
      <c r="B357" s="10" t="inlineStr">
        <is>
          <t>CHE</t>
        </is>
      </c>
      <c r="C357" s="10" t="inlineStr">
        <is>
          <t>VEH-CHE-003</t>
        </is>
      </c>
      <c r="D357" s="10" t="n">
        <v>1</v>
      </c>
      <c r="E357" s="10" t="inlineStr">
        <is>
          <t>ORD-CHE-001796</t>
        </is>
      </c>
      <c r="F357" s="10" t="inlineStr">
        <is>
          <t>AUTOMOTIVE</t>
        </is>
      </c>
      <c r="G357" s="10" t="inlineStr">
        <is>
          <t>OMR Corridor</t>
        </is>
      </c>
      <c r="H357" s="10" t="n">
        <v>66.93000000000001</v>
      </c>
      <c r="I357" s="10" t="n">
        <v>840</v>
      </c>
      <c r="J357" s="10" t="n">
        <v>1080</v>
      </c>
      <c r="K357" s="12" t="n">
        <v>840</v>
      </c>
      <c r="L357" s="12" t="n">
        <v>0</v>
      </c>
      <c r="M357" s="10" t="inlineStr">
        <is>
          <t>Yes</t>
        </is>
      </c>
      <c r="N357" s="11" t="n">
        <v>33.314</v>
      </c>
      <c r="O357" s="11" t="n">
        <v>44.974</v>
      </c>
      <c r="P357" s="12" t="n">
        <v>97</v>
      </c>
    </row>
    <row r="358">
      <c r="B358" s="16" t="inlineStr">
        <is>
          <t>CHE</t>
        </is>
      </c>
      <c r="C358" s="16" t="inlineStr">
        <is>
          <t>VEH-CHE-003</t>
        </is>
      </c>
      <c r="D358" s="16" t="n">
        <v>2</v>
      </c>
      <c r="E358" s="16" t="inlineStr">
        <is>
          <t>ORD-CHE-001809</t>
        </is>
      </c>
      <c r="F358" s="16" t="inlineStr">
        <is>
          <t>AUTOMOTIVE</t>
        </is>
      </c>
      <c r="G358" s="16" t="inlineStr">
        <is>
          <t>OMR Corridor</t>
        </is>
      </c>
      <c r="H358" s="16" t="n">
        <v>72.86</v>
      </c>
      <c r="I358" s="16" t="n">
        <v>840</v>
      </c>
      <c r="J358" s="16" t="n">
        <v>960</v>
      </c>
      <c r="K358" s="18" t="n">
        <v>852.3</v>
      </c>
      <c r="L358" s="18" t="n">
        <v>0</v>
      </c>
      <c r="M358" s="16" t="inlineStr">
        <is>
          <t>Yes</t>
        </is>
      </c>
      <c r="N358" s="17" t="n">
        <v>0</v>
      </c>
      <c r="O358" s="17" t="n">
        <v>0</v>
      </c>
      <c r="P358" s="18" t="n">
        <v>0</v>
      </c>
    </row>
    <row r="359">
      <c r="B359" s="10" t="inlineStr">
        <is>
          <t>CHE</t>
        </is>
      </c>
      <c r="C359" s="10" t="inlineStr">
        <is>
          <t>VEH-CHE-003</t>
        </is>
      </c>
      <c r="D359" s="10" t="n">
        <v>3</v>
      </c>
      <c r="E359" s="10" t="inlineStr">
        <is>
          <t>ORD-CHE-001759</t>
        </is>
      </c>
      <c r="F359" s="10" t="inlineStr">
        <is>
          <t>MODERN_RETAIL</t>
        </is>
      </c>
      <c r="G359" s="10" t="inlineStr">
        <is>
          <t>OMR Corridor</t>
        </is>
      </c>
      <c r="H359" s="10" t="n">
        <v>197.96</v>
      </c>
      <c r="I359" s="10" t="n">
        <v>600</v>
      </c>
      <c r="J359" s="10" t="n">
        <v>900</v>
      </c>
      <c r="K359" s="12" t="n">
        <v>882.3</v>
      </c>
      <c r="L359" s="12" t="n">
        <v>0</v>
      </c>
      <c r="M359" s="10" t="inlineStr">
        <is>
          <t>Yes</t>
        </is>
      </c>
      <c r="N359" s="11" t="n">
        <v>5.962</v>
      </c>
      <c r="O359" s="11" t="n">
        <v>8.048999999999999</v>
      </c>
      <c r="P359" s="12" t="n">
        <v>17.4</v>
      </c>
    </row>
    <row r="360">
      <c r="B360" s="16" t="inlineStr">
        <is>
          <t>CHE</t>
        </is>
      </c>
      <c r="C360" s="16" t="inlineStr">
        <is>
          <t>VEH-CHE-003</t>
        </is>
      </c>
      <c r="D360" s="16" t="n">
        <v>4</v>
      </c>
      <c r="E360" s="16" t="inlineStr">
        <is>
          <t>ORD-CHE-001767</t>
        </is>
      </c>
      <c r="F360" s="16" t="inlineStr">
        <is>
          <t>MODERN_RETAIL</t>
        </is>
      </c>
      <c r="G360" s="16" t="inlineStr">
        <is>
          <t>OMR Corridor</t>
        </is>
      </c>
      <c r="H360" s="16" t="n">
        <v>160.62</v>
      </c>
      <c r="I360" s="16" t="n">
        <v>600</v>
      </c>
      <c r="J360" s="16" t="n">
        <v>900</v>
      </c>
      <c r="K360" s="18" t="n">
        <v>899.2</v>
      </c>
      <c r="L360" s="18" t="n">
        <v>0</v>
      </c>
      <c r="M360" s="16" t="inlineStr">
        <is>
          <t>Yes</t>
        </is>
      </c>
      <c r="N360" s="17" t="n">
        <v>0</v>
      </c>
      <c r="O360" s="17" t="n">
        <v>0</v>
      </c>
      <c r="P360" s="18" t="n">
        <v>0</v>
      </c>
    </row>
    <row r="361">
      <c r="B361" s="10" t="inlineStr">
        <is>
          <t>CHE</t>
        </is>
      </c>
      <c r="C361" s="10" t="inlineStr">
        <is>
          <t>VEH-CHE-003</t>
        </is>
      </c>
      <c r="D361" s="10" t="n">
        <v>5</v>
      </c>
      <c r="E361" s="10" t="inlineStr">
        <is>
          <t>ORD-CHE-001793</t>
        </is>
      </c>
      <c r="F361" s="10" t="inlineStr">
        <is>
          <t>AUTOMOTIVE</t>
        </is>
      </c>
      <c r="G361" s="10" t="inlineStr">
        <is>
          <t>OMR Corridor</t>
        </is>
      </c>
      <c r="H361" s="10" t="n">
        <v>285.33</v>
      </c>
      <c r="I361" s="10" t="n">
        <v>840</v>
      </c>
      <c r="J361" s="10" t="n">
        <v>1080</v>
      </c>
      <c r="K361" s="12" t="n">
        <v>927.7</v>
      </c>
      <c r="L361" s="12" t="n">
        <v>0</v>
      </c>
      <c r="M361" s="10" t="inlineStr">
        <is>
          <t>Yes</t>
        </is>
      </c>
      <c r="N361" s="11" t="n">
        <v>4.429</v>
      </c>
      <c r="O361" s="11" t="n">
        <v>5.979</v>
      </c>
      <c r="P361" s="12" t="n">
        <v>12.9</v>
      </c>
    </row>
    <row r="362">
      <c r="B362" s="16" t="inlineStr">
        <is>
          <t>CHE</t>
        </is>
      </c>
      <c r="C362" s="16" t="inlineStr">
        <is>
          <t>VEH-CHE-003</t>
        </is>
      </c>
      <c r="D362" s="16" t="n">
        <v>6</v>
      </c>
      <c r="E362" s="16" t="inlineStr">
        <is>
          <t>ORD-CHE-001811</t>
        </is>
      </c>
      <c r="F362" s="16" t="inlineStr">
        <is>
          <t>AUTOMOTIVE</t>
        </is>
      </c>
      <c r="G362" s="16" t="inlineStr">
        <is>
          <t>OMR Corridor</t>
        </is>
      </c>
      <c r="H362" s="16" t="n">
        <v>45.03</v>
      </c>
      <c r="I362" s="16" t="n">
        <v>840</v>
      </c>
      <c r="J362" s="16" t="n">
        <v>1080</v>
      </c>
      <c r="K362" s="18" t="n">
        <v>947.7</v>
      </c>
      <c r="L362" s="18" t="n">
        <v>0</v>
      </c>
      <c r="M362" s="16" t="inlineStr">
        <is>
          <t>Yes</t>
        </is>
      </c>
      <c r="N362" s="17" t="n">
        <v>0</v>
      </c>
      <c r="O362" s="17" t="n">
        <v>0</v>
      </c>
      <c r="P362" s="18" t="n">
        <v>0</v>
      </c>
    </row>
    <row r="363">
      <c r="B363" s="10" t="inlineStr">
        <is>
          <t>CHE</t>
        </is>
      </c>
      <c r="C363" s="10" t="inlineStr">
        <is>
          <t>VEH-CHE-003</t>
        </is>
      </c>
      <c r="D363" s="10" t="n">
        <v>7</v>
      </c>
      <c r="E363" s="10" t="inlineStr">
        <is>
          <t>ORD-CHE-001790</t>
        </is>
      </c>
      <c r="F363" s="10" t="inlineStr">
        <is>
          <t>AUTOMOTIVE</t>
        </is>
      </c>
      <c r="G363" s="10" t="inlineStr">
        <is>
          <t>OMR Corridor</t>
        </is>
      </c>
      <c r="H363" s="10" t="n">
        <v>141.44</v>
      </c>
      <c r="I363" s="10" t="n">
        <v>840</v>
      </c>
      <c r="J363" s="10" t="n">
        <v>1080</v>
      </c>
      <c r="K363" s="12" t="n">
        <v>970.5</v>
      </c>
      <c r="L363" s="12" t="n">
        <v>0</v>
      </c>
      <c r="M363" s="10" t="inlineStr">
        <is>
          <t>Yes</t>
        </is>
      </c>
      <c r="N363" s="11" t="n">
        <v>3.847</v>
      </c>
      <c r="O363" s="11" t="n">
        <v>5.193</v>
      </c>
      <c r="P363" s="12" t="n">
        <v>11.2</v>
      </c>
    </row>
    <row r="364">
      <c r="B364" s="16" t="inlineStr">
        <is>
          <t>CHE</t>
        </is>
      </c>
      <c r="C364" s="16" t="inlineStr">
        <is>
          <t>VEH-CHE-003</t>
        </is>
      </c>
      <c r="D364" s="16" t="n">
        <v>8</v>
      </c>
      <c r="E364" s="16" t="inlineStr">
        <is>
          <t>ORD-CHE-001780</t>
        </is>
      </c>
      <c r="F364" s="16" t="inlineStr">
        <is>
          <t>MODERN_RETAIL</t>
        </is>
      </c>
      <c r="G364" s="16" t="inlineStr">
        <is>
          <t>South Chennai</t>
        </is>
      </c>
      <c r="H364" s="16" t="n">
        <v>183.85</v>
      </c>
      <c r="I364" s="16" t="n">
        <v>840</v>
      </c>
      <c r="J364" s="16" t="n">
        <v>1080</v>
      </c>
      <c r="K364" s="18" t="n">
        <v>995.5</v>
      </c>
      <c r="L364" s="18" t="n">
        <v>0</v>
      </c>
      <c r="M364" s="16" t="inlineStr">
        <is>
          <t>Yes</t>
        </is>
      </c>
      <c r="N364" s="17" t="n">
        <v>3.331</v>
      </c>
      <c r="O364" s="17" t="n">
        <v>4.497</v>
      </c>
      <c r="P364" s="18" t="n">
        <v>10</v>
      </c>
    </row>
    <row r="365">
      <c r="B365" s="10" t="inlineStr">
        <is>
          <t>CHE</t>
        </is>
      </c>
      <c r="C365" s="10" t="inlineStr">
        <is>
          <t>VEH-CHE-003</t>
        </is>
      </c>
      <c r="D365" s="10" t="n">
        <v>9</v>
      </c>
      <c r="E365" s="10" t="inlineStr">
        <is>
          <t>ORD-CHE-001775</t>
        </is>
      </c>
      <c r="F365" s="10" t="inlineStr">
        <is>
          <t>MODERN_RETAIL</t>
        </is>
      </c>
      <c r="G365" s="10" t="inlineStr">
        <is>
          <t>South Chennai</t>
        </is>
      </c>
      <c r="H365" s="10" t="n">
        <v>259.03</v>
      </c>
      <c r="I365" s="10" t="n">
        <v>840</v>
      </c>
      <c r="J365" s="10" t="n">
        <v>1080</v>
      </c>
      <c r="K365" s="12" t="n">
        <v>1035.7</v>
      </c>
      <c r="L365" s="12" t="n">
        <v>0</v>
      </c>
      <c r="M365" s="10" t="inlineStr">
        <is>
          <t>Yes</t>
        </is>
      </c>
      <c r="N365" s="11" t="n">
        <v>7.892</v>
      </c>
      <c r="O365" s="11" t="n">
        <v>10.655</v>
      </c>
      <c r="P365" s="12" t="n">
        <v>23.8</v>
      </c>
    </row>
    <row r="366">
      <c r="B366" s="16" t="inlineStr">
        <is>
          <t>CHE</t>
        </is>
      </c>
      <c r="C366" s="16" t="inlineStr">
        <is>
          <t>VEH-CHE-007</t>
        </is>
      </c>
      <c r="D366" s="16" t="n">
        <v>1</v>
      </c>
      <c r="E366" s="16" t="inlineStr">
        <is>
          <t>ORD-CHE-001808</t>
        </is>
      </c>
      <c r="F366" s="16" t="inlineStr">
        <is>
          <t>AUTOMOTIVE</t>
        </is>
      </c>
      <c r="G366" s="16" t="inlineStr">
        <is>
          <t>West Chennai</t>
        </is>
      </c>
      <c r="H366" s="16" t="n">
        <v>48.06</v>
      </c>
      <c r="I366" s="16" t="n">
        <v>660</v>
      </c>
      <c r="J366" s="16" t="n">
        <v>900</v>
      </c>
      <c r="K366" s="18" t="n">
        <v>712.7</v>
      </c>
      <c r="L366" s="18" t="n">
        <v>0</v>
      </c>
      <c r="M366" s="16" t="inlineStr">
        <is>
          <t>Yes</t>
        </is>
      </c>
      <c r="N366" s="17" t="n">
        <v>29.68</v>
      </c>
      <c r="O366" s="17" t="n">
        <v>40.068</v>
      </c>
      <c r="P366" s="18" t="n">
        <v>135.6</v>
      </c>
    </row>
    <row r="367">
      <c r="B367" s="10" t="inlineStr">
        <is>
          <t>CHE</t>
        </is>
      </c>
      <c r="C367" s="10" t="inlineStr">
        <is>
          <t>VEH-CHE-007</t>
        </is>
      </c>
      <c r="D367" s="10" t="n">
        <v>2</v>
      </c>
      <c r="E367" s="10" t="inlineStr">
        <is>
          <t>ORD-CHE-001803</t>
        </is>
      </c>
      <c r="F367" s="10" t="inlineStr">
        <is>
          <t>AUTOMOTIVE</t>
        </is>
      </c>
      <c r="G367" s="10" t="inlineStr">
        <is>
          <t>West Chennai</t>
        </is>
      </c>
      <c r="H367" s="10" t="n">
        <v>30.53</v>
      </c>
      <c r="I367" s="10" t="n">
        <v>840</v>
      </c>
      <c r="J367" s="10" t="n">
        <v>960</v>
      </c>
      <c r="K367" s="12" t="n">
        <v>725.2</v>
      </c>
      <c r="L367" s="12" t="n">
        <v>0</v>
      </c>
      <c r="M367" s="10" t="inlineStr">
        <is>
          <t>Yes</t>
        </is>
      </c>
      <c r="N367" s="11" t="n">
        <v>0.26</v>
      </c>
      <c r="O367" s="11" t="n">
        <v>0.351</v>
      </c>
      <c r="P367" s="12" t="n">
        <v>0.7</v>
      </c>
    </row>
    <row r="368">
      <c r="B368" s="16" t="inlineStr">
        <is>
          <t>CHE</t>
        </is>
      </c>
      <c r="C368" s="16" t="inlineStr">
        <is>
          <t>VEH-CHE-007</t>
        </is>
      </c>
      <c r="D368" s="16" t="n">
        <v>3</v>
      </c>
      <c r="E368" s="16" t="inlineStr">
        <is>
          <t>ORD-CHE-001784</t>
        </is>
      </c>
      <c r="F368" s="16" t="inlineStr">
        <is>
          <t>AUTOMOTIVE</t>
        </is>
      </c>
      <c r="G368" s="16" t="inlineStr">
        <is>
          <t>Central Chennai</t>
        </is>
      </c>
      <c r="H368" s="16" t="n">
        <v>96.88</v>
      </c>
      <c r="I368" s="16" t="n">
        <v>840</v>
      </c>
      <c r="J368" s="16" t="n">
        <v>960</v>
      </c>
      <c r="K368" s="18" t="n">
        <v>862.6</v>
      </c>
      <c r="L368" s="18" t="n">
        <v>0</v>
      </c>
      <c r="M368" s="16" t="inlineStr">
        <is>
          <t>Yes</t>
        </is>
      </c>
      <c r="N368" s="17" t="n">
        <v>3.979</v>
      </c>
      <c r="O368" s="17" t="n">
        <v>5.371</v>
      </c>
      <c r="P368" s="18" t="n">
        <v>11.5</v>
      </c>
    </row>
    <row r="369">
      <c r="B369" s="10" t="inlineStr">
        <is>
          <t>CHE</t>
        </is>
      </c>
      <c r="C369" s="10" t="inlineStr">
        <is>
          <t>VEH-CHE-007</t>
        </is>
      </c>
      <c r="D369" s="10" t="n">
        <v>4</v>
      </c>
      <c r="E369" s="10" t="inlineStr">
        <is>
          <t>ORD-CHE-001797</t>
        </is>
      </c>
      <c r="F369" s="10" t="inlineStr">
        <is>
          <t>AUTOMOTIVE</t>
        </is>
      </c>
      <c r="G369" s="10" t="inlineStr">
        <is>
          <t>Central Chennai</t>
        </is>
      </c>
      <c r="H369" s="10" t="n">
        <v>97.58</v>
      </c>
      <c r="I369" s="10" t="n">
        <v>840</v>
      </c>
      <c r="J369" s="10" t="n">
        <v>1080</v>
      </c>
      <c r="K369" s="12" t="n">
        <v>883.5</v>
      </c>
      <c r="L369" s="12" t="n">
        <v>0</v>
      </c>
      <c r="M369" s="10" t="inlineStr">
        <is>
          <t>Yes</t>
        </is>
      </c>
      <c r="N369" s="11" t="n">
        <v>2.58</v>
      </c>
      <c r="O369" s="11" t="n">
        <v>3.482</v>
      </c>
      <c r="P369" s="12" t="n">
        <v>7.5</v>
      </c>
    </row>
    <row r="370">
      <c r="B370" s="16" t="inlineStr">
        <is>
          <t>CHE</t>
        </is>
      </c>
      <c r="C370" s="16" t="inlineStr">
        <is>
          <t>VEH-CHE-007</t>
        </is>
      </c>
      <c r="D370" s="16" t="n">
        <v>5</v>
      </c>
      <c r="E370" s="16" t="inlineStr">
        <is>
          <t>ORD-CHE-001804</t>
        </is>
      </c>
      <c r="F370" s="16" t="inlineStr">
        <is>
          <t>AUTOMOTIVE</t>
        </is>
      </c>
      <c r="G370" s="16" t="inlineStr">
        <is>
          <t>Central Chennai</t>
        </is>
      </c>
      <c r="H370" s="16" t="n">
        <v>26.09</v>
      </c>
      <c r="I370" s="16" t="n">
        <v>660</v>
      </c>
      <c r="J370" s="16" t="n">
        <v>900</v>
      </c>
      <c r="K370" s="18" t="n">
        <v>896.9</v>
      </c>
      <c r="L370" s="18" t="n">
        <v>0</v>
      </c>
      <c r="M370" s="16" t="inlineStr">
        <is>
          <t>Yes</t>
        </is>
      </c>
      <c r="N370" s="17" t="n">
        <v>0</v>
      </c>
      <c r="O370" s="17" t="n">
        <v>0</v>
      </c>
      <c r="P370" s="18" t="n">
        <v>0</v>
      </c>
    </row>
    <row r="371">
      <c r="B371" s="10" t="inlineStr">
        <is>
          <t>CHE</t>
        </is>
      </c>
      <c r="C371" s="10" t="inlineStr">
        <is>
          <t>VEH-CHE-007</t>
        </is>
      </c>
      <c r="D371" s="10" t="n">
        <v>6</v>
      </c>
      <c r="E371" s="10" t="inlineStr">
        <is>
          <t>ORD-CHE-001772</t>
        </is>
      </c>
      <c r="F371" s="10" t="inlineStr">
        <is>
          <t>MODERN_RETAIL</t>
        </is>
      </c>
      <c r="G371" s="10" t="inlineStr">
        <is>
          <t>Central Chennai</t>
        </is>
      </c>
      <c r="H371" s="10" t="n">
        <v>242.65</v>
      </c>
      <c r="I371" s="10" t="n">
        <v>840</v>
      </c>
      <c r="J371" s="10" t="n">
        <v>1080</v>
      </c>
      <c r="K371" s="12" t="n">
        <v>913.3</v>
      </c>
      <c r="L371" s="12" t="n">
        <v>0</v>
      </c>
      <c r="M371" s="10" t="inlineStr">
        <is>
          <t>Yes</t>
        </is>
      </c>
      <c r="N371" s="11" t="n">
        <v>1.893</v>
      </c>
      <c r="O371" s="11" t="n">
        <v>2.556</v>
      </c>
      <c r="P371" s="12" t="n">
        <v>5.5</v>
      </c>
    </row>
    <row r="372">
      <c r="B372" s="16" t="inlineStr">
        <is>
          <t>CHE</t>
        </is>
      </c>
      <c r="C372" s="16" t="inlineStr">
        <is>
          <t>VEH-CHE-007</t>
        </is>
      </c>
      <c r="D372" s="16" t="n">
        <v>7</v>
      </c>
      <c r="E372" s="16" t="inlineStr">
        <is>
          <t>ORD-CHE-001761</t>
        </is>
      </c>
      <c r="F372" s="16" t="inlineStr">
        <is>
          <t>MODERN_RETAIL</t>
        </is>
      </c>
      <c r="G372" s="16" t="inlineStr">
        <is>
          <t>North Chennai</t>
        </is>
      </c>
      <c r="H372" s="16" t="n">
        <v>166.01</v>
      </c>
      <c r="I372" s="16" t="n">
        <v>840</v>
      </c>
      <c r="J372" s="16" t="n">
        <v>1080</v>
      </c>
      <c r="K372" s="18" t="n">
        <v>959.7</v>
      </c>
      <c r="L372" s="18" t="n">
        <v>0</v>
      </c>
      <c r="M372" s="16" t="inlineStr">
        <is>
          <t>Yes</t>
        </is>
      </c>
      <c r="N372" s="17" t="n">
        <v>9.776999999999999</v>
      </c>
      <c r="O372" s="17" t="n">
        <v>13.199</v>
      </c>
      <c r="P372" s="18" t="n">
        <v>28</v>
      </c>
    </row>
    <row r="373">
      <c r="B373" s="10" t="inlineStr">
        <is>
          <t>CHE</t>
        </is>
      </c>
      <c r="C373" s="10" t="inlineStr">
        <is>
          <t>VEH-CHE-007</t>
        </is>
      </c>
      <c r="D373" s="10" t="n">
        <v>8</v>
      </c>
      <c r="E373" s="10" t="inlineStr">
        <is>
          <t>ORD-CHE-001783</t>
        </is>
      </c>
      <c r="F373" s="10" t="inlineStr">
        <is>
          <t>AUTOMOTIVE</t>
        </is>
      </c>
      <c r="G373" s="10" t="inlineStr">
        <is>
          <t>North Chennai</t>
        </is>
      </c>
      <c r="H373" s="10" t="n">
        <v>41.68</v>
      </c>
      <c r="I373" s="10" t="n">
        <v>840</v>
      </c>
      <c r="J373" s="10" t="n">
        <v>1080</v>
      </c>
      <c r="K373" s="12" t="n">
        <v>978.2</v>
      </c>
      <c r="L373" s="12" t="n">
        <v>0</v>
      </c>
      <c r="M373" s="10" t="inlineStr">
        <is>
          <t>Yes</t>
        </is>
      </c>
      <c r="N373" s="11" t="n">
        <v>0.9340000000000001</v>
      </c>
      <c r="O373" s="11" t="n">
        <v>1.261</v>
      </c>
      <c r="P373" s="12" t="n">
        <v>2.7</v>
      </c>
    </row>
    <row r="374">
      <c r="B374" s="16" t="inlineStr">
        <is>
          <t>CHE</t>
        </is>
      </c>
      <c r="C374" s="16" t="inlineStr">
        <is>
          <t>VEH-CHE-007</t>
        </is>
      </c>
      <c r="D374" s="16" t="n">
        <v>9</v>
      </c>
      <c r="E374" s="16" t="inlineStr">
        <is>
          <t>ORD-CHE-001792</t>
        </is>
      </c>
      <c r="F374" s="16" t="inlineStr">
        <is>
          <t>AUTOMOTIVE</t>
        </is>
      </c>
      <c r="G374" s="16" t="inlineStr">
        <is>
          <t>North Chennai</t>
        </is>
      </c>
      <c r="H374" s="16" t="n">
        <v>64.81999999999999</v>
      </c>
      <c r="I374" s="16" t="n">
        <v>840</v>
      </c>
      <c r="J374" s="16" t="n">
        <v>1080</v>
      </c>
      <c r="K374" s="18" t="n">
        <v>998.7</v>
      </c>
      <c r="L374" s="18" t="n">
        <v>0</v>
      </c>
      <c r="M374" s="16" t="inlineStr">
        <is>
          <t>Yes</t>
        </is>
      </c>
      <c r="N374" s="17" t="n">
        <v>3.147</v>
      </c>
      <c r="O374" s="17" t="n">
        <v>4.249</v>
      </c>
      <c r="P374" s="18" t="n">
        <v>9</v>
      </c>
    </row>
    <row r="375">
      <c r="B375" s="10" t="inlineStr">
        <is>
          <t>CHE</t>
        </is>
      </c>
      <c r="C375" s="10" t="inlineStr">
        <is>
          <t>VEH-CHE-007</t>
        </is>
      </c>
      <c r="D375" s="10" t="n">
        <v>10</v>
      </c>
      <c r="E375" s="10" t="inlineStr">
        <is>
          <t>ORD-CHE-001760</t>
        </is>
      </c>
      <c r="F375" s="10" t="inlineStr">
        <is>
          <t>MODERN_RETAIL</t>
        </is>
      </c>
      <c r="G375" s="10" t="inlineStr">
        <is>
          <t>West Chennai</t>
        </is>
      </c>
      <c r="H375" s="10" t="n">
        <v>161.9</v>
      </c>
      <c r="I375" s="10" t="n">
        <v>840</v>
      </c>
      <c r="J375" s="10" t="n">
        <v>1080</v>
      </c>
      <c r="K375" s="12" t="n">
        <v>1020.8</v>
      </c>
      <c r="L375" s="12" t="n">
        <v>0</v>
      </c>
      <c r="M375" s="10" t="inlineStr">
        <is>
          <t>Yes</t>
        </is>
      </c>
      <c r="N375" s="11" t="n">
        <v>3.528</v>
      </c>
      <c r="O375" s="11" t="n">
        <v>4.763</v>
      </c>
      <c r="P375" s="12" t="n">
        <v>9.9</v>
      </c>
    </row>
    <row r="376">
      <c r="B376" s="16" t="inlineStr">
        <is>
          <t>CHE</t>
        </is>
      </c>
      <c r="C376" s="16" t="inlineStr">
        <is>
          <t>VEH-CHE-008</t>
        </is>
      </c>
      <c r="D376" s="16" t="n">
        <v>1</v>
      </c>
      <c r="E376" s="16" t="inlineStr">
        <is>
          <t>ORD-CHE-001785</t>
        </is>
      </c>
      <c r="F376" s="16" t="inlineStr">
        <is>
          <t>AUTOMOTIVE</t>
        </is>
      </c>
      <c r="G376" s="16" t="inlineStr">
        <is>
          <t>North Chennai</t>
        </is>
      </c>
      <c r="H376" s="16" t="n">
        <v>89.56999999999999</v>
      </c>
      <c r="I376" s="16" t="n">
        <v>480</v>
      </c>
      <c r="J376" s="16" t="n">
        <v>720</v>
      </c>
      <c r="K376" s="18" t="n">
        <v>508.6</v>
      </c>
      <c r="L376" s="18" t="n">
        <v>0</v>
      </c>
      <c r="M376" s="16" t="inlineStr">
        <is>
          <t>Yes</t>
        </is>
      </c>
      <c r="N376" s="17" t="n">
        <v>34.045</v>
      </c>
      <c r="O376" s="17" t="n">
        <v>45.961</v>
      </c>
      <c r="P376" s="18" t="n">
        <v>88.59999999999999</v>
      </c>
    </row>
    <row r="377">
      <c r="B377" s="10" t="inlineStr">
        <is>
          <t>CHE</t>
        </is>
      </c>
      <c r="C377" s="10" t="inlineStr">
        <is>
          <t>VEH-CHE-008</t>
        </is>
      </c>
      <c r="D377" s="10" t="n">
        <v>2</v>
      </c>
      <c r="E377" s="10" t="inlineStr">
        <is>
          <t>ORD-CHE-001799</t>
        </is>
      </c>
      <c r="F377" s="10" t="inlineStr">
        <is>
          <t>AUTOMOTIVE</t>
        </is>
      </c>
      <c r="G377" s="10" t="inlineStr">
        <is>
          <t>North Chennai</t>
        </is>
      </c>
      <c r="H377" s="10" t="n">
        <v>135.6</v>
      </c>
      <c r="I377" s="10" t="n">
        <v>480</v>
      </c>
      <c r="J377" s="10" t="n">
        <v>720</v>
      </c>
      <c r="K377" s="12" t="n">
        <v>521.7</v>
      </c>
      <c r="L377" s="12" t="n">
        <v>0</v>
      </c>
      <c r="M377" s="10" t="inlineStr">
        <is>
          <t>Yes</t>
        </is>
      </c>
      <c r="N377" s="11" t="n">
        <v>0</v>
      </c>
      <c r="O377" s="11" t="n">
        <v>0</v>
      </c>
      <c r="P377" s="12" t="n">
        <v>0</v>
      </c>
    </row>
    <row r="378">
      <c r="B378" s="16" t="inlineStr">
        <is>
          <t>CHE</t>
        </is>
      </c>
      <c r="C378" s="16" t="inlineStr">
        <is>
          <t>VEH-CHE-008</t>
        </is>
      </c>
      <c r="D378" s="16" t="n">
        <v>3</v>
      </c>
      <c r="E378" s="16" t="inlineStr">
        <is>
          <t>ORD-CHE-001795</t>
        </is>
      </c>
      <c r="F378" s="16" t="inlineStr">
        <is>
          <t>AUTOMOTIVE</t>
        </is>
      </c>
      <c r="G378" s="16" t="inlineStr">
        <is>
          <t>North Chennai</t>
        </is>
      </c>
      <c r="H378" s="16" t="n">
        <v>72.65000000000001</v>
      </c>
      <c r="I378" s="16" t="n">
        <v>480</v>
      </c>
      <c r="J378" s="16" t="n">
        <v>720</v>
      </c>
      <c r="K378" s="18" t="n">
        <v>544.1</v>
      </c>
      <c r="L378" s="18" t="n">
        <v>0</v>
      </c>
      <c r="M378" s="16" t="inlineStr">
        <is>
          <t>Yes</t>
        </is>
      </c>
      <c r="N378" s="17" t="n">
        <v>1.636</v>
      </c>
      <c r="O378" s="17" t="n">
        <v>2.208</v>
      </c>
      <c r="P378" s="18" t="n">
        <v>7.7</v>
      </c>
    </row>
    <row r="379">
      <c r="B379" s="10" t="inlineStr">
        <is>
          <t>CHE</t>
        </is>
      </c>
      <c r="C379" s="10" t="inlineStr">
        <is>
          <t>VEH-CHE-008</t>
        </is>
      </c>
      <c r="D379" s="10" t="n">
        <v>4</v>
      </c>
      <c r="E379" s="10" t="inlineStr">
        <is>
          <t>ORD-CHE-001789</t>
        </is>
      </c>
      <c r="F379" s="10" t="inlineStr">
        <is>
          <t>AUTOMOTIVE</t>
        </is>
      </c>
      <c r="G379" s="10" t="inlineStr">
        <is>
          <t>Central Chennai</t>
        </is>
      </c>
      <c r="H379" s="10" t="n">
        <v>59.08</v>
      </c>
      <c r="I379" s="10" t="n">
        <v>480</v>
      </c>
      <c r="J379" s="10" t="n">
        <v>720</v>
      </c>
      <c r="K379" s="12" t="n">
        <v>590.2</v>
      </c>
      <c r="L379" s="12" t="n">
        <v>0</v>
      </c>
      <c r="M379" s="10" t="inlineStr">
        <is>
          <t>Yes</t>
        </is>
      </c>
      <c r="N379" s="11" t="n">
        <v>7.086</v>
      </c>
      <c r="O379" s="11" t="n">
        <v>9.565</v>
      </c>
      <c r="P379" s="12" t="n">
        <v>33.6</v>
      </c>
    </row>
    <row r="380">
      <c r="B380" s="16" t="inlineStr">
        <is>
          <t>CHE</t>
        </is>
      </c>
      <c r="C380" s="16" t="inlineStr">
        <is>
          <t>VEH-CHE-008</t>
        </is>
      </c>
      <c r="D380" s="16" t="n">
        <v>5</v>
      </c>
      <c r="E380" s="16" t="inlineStr">
        <is>
          <t>ORD-CHE-001779</t>
        </is>
      </c>
      <c r="F380" s="16" t="inlineStr">
        <is>
          <t>MODERN_RETAIL</t>
        </is>
      </c>
      <c r="G380" s="16" t="inlineStr">
        <is>
          <t>Central Chennai</t>
        </is>
      </c>
      <c r="H380" s="16" t="n">
        <v>352.83</v>
      </c>
      <c r="I380" s="16" t="n">
        <v>600</v>
      </c>
      <c r="J380" s="16" t="n">
        <v>900</v>
      </c>
      <c r="K380" s="18" t="n">
        <v>605.1</v>
      </c>
      <c r="L380" s="18" t="n">
        <v>0</v>
      </c>
      <c r="M380" s="16" t="inlineStr">
        <is>
          <t>Yes</t>
        </is>
      </c>
      <c r="N380" s="17" t="n">
        <v>0.59</v>
      </c>
      <c r="O380" s="17" t="n">
        <v>0.796</v>
      </c>
      <c r="P380" s="18" t="n">
        <v>2.8</v>
      </c>
    </row>
    <row r="381">
      <c r="B381" s="10" t="inlineStr">
        <is>
          <t>CHE</t>
        </is>
      </c>
      <c r="C381" s="10" t="inlineStr">
        <is>
          <t>VEH-CHE-008</t>
        </is>
      </c>
      <c r="D381" s="10" t="n">
        <v>6</v>
      </c>
      <c r="E381" s="10" t="inlineStr">
        <is>
          <t>ORD-CHE-001810</t>
        </is>
      </c>
      <c r="F381" s="10" t="inlineStr">
        <is>
          <t>AUTOMOTIVE</t>
        </is>
      </c>
      <c r="G381" s="10" t="inlineStr">
        <is>
          <t>Central Chennai</t>
        </is>
      </c>
      <c r="H381" s="10" t="n">
        <v>42.46</v>
      </c>
      <c r="I381" s="10" t="n">
        <v>480</v>
      </c>
      <c r="J381" s="10" t="n">
        <v>720</v>
      </c>
      <c r="K381" s="12" t="n">
        <v>642.3</v>
      </c>
      <c r="L381" s="12" t="n">
        <v>0</v>
      </c>
      <c r="M381" s="10" t="inlineStr">
        <is>
          <t>Yes</t>
        </is>
      </c>
      <c r="N381" s="11" t="n">
        <v>3.139</v>
      </c>
      <c r="O381" s="11" t="n">
        <v>4.238</v>
      </c>
      <c r="P381" s="12" t="n">
        <v>14.9</v>
      </c>
    </row>
    <row r="382">
      <c r="B382" s="16" t="inlineStr">
        <is>
          <t>CHE</t>
        </is>
      </c>
      <c r="C382" s="16" t="inlineStr">
        <is>
          <t>VEH-CHE-008</t>
        </is>
      </c>
      <c r="D382" s="16" t="n">
        <v>7</v>
      </c>
      <c r="E382" s="16" t="inlineStr">
        <is>
          <t>ORD-CHE-001786</t>
        </is>
      </c>
      <c r="F382" s="16" t="inlineStr">
        <is>
          <t>AUTOMOTIVE</t>
        </is>
      </c>
      <c r="G382" s="16" t="inlineStr">
        <is>
          <t>Central Chennai</t>
        </is>
      </c>
      <c r="H382" s="16" t="n">
        <v>122.54</v>
      </c>
      <c r="I382" s="16" t="n">
        <v>660</v>
      </c>
      <c r="J382" s="16" t="n">
        <v>900</v>
      </c>
      <c r="K382" s="18" t="n">
        <v>658.6</v>
      </c>
      <c r="L382" s="18" t="n">
        <v>0</v>
      </c>
      <c r="M382" s="16" t="inlineStr">
        <is>
          <t>Yes</t>
        </is>
      </c>
      <c r="N382" s="17" t="n">
        <v>1.005</v>
      </c>
      <c r="O382" s="17" t="n">
        <v>1.357</v>
      </c>
      <c r="P382" s="18" t="n">
        <v>4.8</v>
      </c>
    </row>
    <row r="383">
      <c r="B383" s="10" t="inlineStr">
        <is>
          <t>CHE</t>
        </is>
      </c>
      <c r="C383" s="10" t="inlineStr">
        <is>
          <t>VEH-CHE-008</t>
        </is>
      </c>
      <c r="D383" s="10" t="n">
        <v>8</v>
      </c>
      <c r="E383" s="10" t="inlineStr">
        <is>
          <t>ORD-CHE-001787</t>
        </is>
      </c>
      <c r="F383" s="10" t="inlineStr">
        <is>
          <t>AUTOMOTIVE</t>
        </is>
      </c>
      <c r="G383" s="10" t="inlineStr">
        <is>
          <t>West Chennai</t>
        </is>
      </c>
      <c r="H383" s="10" t="n">
        <v>32.63</v>
      </c>
      <c r="I383" s="10" t="n">
        <v>660</v>
      </c>
      <c r="J383" s="10" t="n">
        <v>900</v>
      </c>
      <c r="K383" s="12" t="n">
        <v>684.5</v>
      </c>
      <c r="L383" s="12" t="n">
        <v>0</v>
      </c>
      <c r="M383" s="10" t="inlineStr">
        <is>
          <t>Yes</t>
        </is>
      </c>
      <c r="N383" s="11" t="n">
        <v>3.672</v>
      </c>
      <c r="O383" s="11" t="n">
        <v>4.957</v>
      </c>
      <c r="P383" s="12" t="n">
        <v>10.3</v>
      </c>
    </row>
    <row r="384">
      <c r="B384" s="16" t="inlineStr">
        <is>
          <t>CHE</t>
        </is>
      </c>
      <c r="C384" s="16" t="inlineStr">
        <is>
          <t>VEH-CHE-009</t>
        </is>
      </c>
      <c r="D384" s="16" t="n">
        <v>1</v>
      </c>
      <c r="E384" s="16" t="inlineStr">
        <is>
          <t>ORD-CHE-001788</t>
        </is>
      </c>
      <c r="F384" s="16" t="inlineStr">
        <is>
          <t>AUTOMOTIVE</t>
        </is>
      </c>
      <c r="G384" s="16" t="inlineStr">
        <is>
          <t>Central Chennai</t>
        </is>
      </c>
      <c r="H384" s="16" t="n">
        <v>146</v>
      </c>
      <c r="I384" s="16" t="n">
        <v>840</v>
      </c>
      <c r="J384" s="16" t="n">
        <v>960</v>
      </c>
      <c r="K384" s="18" t="n">
        <v>840</v>
      </c>
      <c r="L384" s="18" t="n">
        <v>0</v>
      </c>
      <c r="M384" s="16" t="inlineStr">
        <is>
          <t>Yes</t>
        </is>
      </c>
      <c r="N384" s="17" t="n">
        <v>35.311</v>
      </c>
      <c r="O384" s="17" t="n">
        <v>47.67</v>
      </c>
      <c r="P384" s="18" t="n">
        <v>102.3</v>
      </c>
    </row>
    <row r="385">
      <c r="B385" s="10" t="inlineStr">
        <is>
          <t>CHE</t>
        </is>
      </c>
      <c r="C385" s="10" t="inlineStr">
        <is>
          <t>VEH-CHE-009</t>
        </is>
      </c>
      <c r="D385" s="10" t="n">
        <v>2</v>
      </c>
      <c r="E385" s="10" t="inlineStr">
        <is>
          <t>ORD-CHE-001807</t>
        </is>
      </c>
      <c r="F385" s="10" t="inlineStr">
        <is>
          <t>AUTOMOTIVE</t>
        </is>
      </c>
      <c r="G385" s="10" t="inlineStr">
        <is>
          <t>Central Chennai</t>
        </is>
      </c>
      <c r="H385" s="10" t="n">
        <v>198.13</v>
      </c>
      <c r="I385" s="10" t="n">
        <v>660</v>
      </c>
      <c r="J385" s="10" t="n">
        <v>900</v>
      </c>
      <c r="K385" s="12" t="n">
        <v>855.1</v>
      </c>
      <c r="L385" s="12" t="n">
        <v>0</v>
      </c>
      <c r="M385" s="10" t="inlineStr">
        <is>
          <t>Yes</t>
        </is>
      </c>
      <c r="N385" s="11" t="n">
        <v>0</v>
      </c>
      <c r="O385" s="11" t="n">
        <v>0</v>
      </c>
      <c r="P385" s="12" t="n">
        <v>0</v>
      </c>
    </row>
    <row r="386">
      <c r="B386" s="16" t="inlineStr">
        <is>
          <t>CHE</t>
        </is>
      </c>
      <c r="C386" s="16" t="inlineStr">
        <is>
          <t>VEH-CHE-009</t>
        </is>
      </c>
      <c r="D386" s="16" t="n">
        <v>3</v>
      </c>
      <c r="E386" s="16" t="inlineStr">
        <is>
          <t>ORD-CHE-001763</t>
        </is>
      </c>
      <c r="F386" s="16" t="inlineStr">
        <is>
          <t>MODERN_RETAIL</t>
        </is>
      </c>
      <c r="G386" s="16" t="inlineStr">
        <is>
          <t>Central Chennai</t>
        </is>
      </c>
      <c r="H386" s="16" t="n">
        <v>174.48</v>
      </c>
      <c r="I386" s="16" t="n">
        <v>600</v>
      </c>
      <c r="J386" s="16" t="n">
        <v>900</v>
      </c>
      <c r="K386" s="18" t="n">
        <v>873.7</v>
      </c>
      <c r="L386" s="18" t="n">
        <v>0</v>
      </c>
      <c r="M386" s="16" t="inlineStr">
        <is>
          <t>Yes</t>
        </is>
      </c>
      <c r="N386" s="17" t="n">
        <v>0.5590000000000001</v>
      </c>
      <c r="O386" s="17" t="n">
        <v>0.754</v>
      </c>
      <c r="P386" s="18" t="n">
        <v>1.6</v>
      </c>
    </row>
    <row r="387">
      <c r="B387" s="10" t="inlineStr">
        <is>
          <t>CHE</t>
        </is>
      </c>
      <c r="C387" s="10" t="inlineStr">
        <is>
          <t>VEH-CHE-009</t>
        </is>
      </c>
      <c r="D387" s="10" t="n">
        <v>4</v>
      </c>
      <c r="E387" s="10" t="inlineStr">
        <is>
          <t>ORD-CHE-001777</t>
        </is>
      </c>
      <c r="F387" s="10" t="inlineStr">
        <is>
          <t>MODERN_RETAIL</t>
        </is>
      </c>
      <c r="G387" s="10" t="inlineStr">
        <is>
          <t>Central Chennai</t>
        </is>
      </c>
      <c r="H387" s="10" t="n">
        <v>114.11</v>
      </c>
      <c r="I387" s="10" t="n">
        <v>840</v>
      </c>
      <c r="J387" s="10" t="n">
        <v>1080</v>
      </c>
      <c r="K387" s="12" t="n">
        <v>889.8</v>
      </c>
      <c r="L387" s="12" t="n">
        <v>0</v>
      </c>
      <c r="M387" s="10" t="inlineStr">
        <is>
          <t>Yes</t>
        </is>
      </c>
      <c r="N387" s="11" t="n">
        <v>0</v>
      </c>
      <c r="O387" s="11" t="n">
        <v>0</v>
      </c>
      <c r="P387" s="12" t="n">
        <v>0</v>
      </c>
    </row>
    <row r="388">
      <c r="B388" s="16" t="inlineStr">
        <is>
          <t>CHE</t>
        </is>
      </c>
      <c r="C388" s="16" t="inlineStr">
        <is>
          <t>VEH-CHE-009</t>
        </is>
      </c>
      <c r="D388" s="16" t="n">
        <v>5</v>
      </c>
      <c r="E388" s="16" t="inlineStr">
        <is>
          <t>ORD-CHE-001768</t>
        </is>
      </c>
      <c r="F388" s="16" t="inlineStr">
        <is>
          <t>MODERN_RETAIL</t>
        </is>
      </c>
      <c r="G388" s="16" t="inlineStr">
        <is>
          <t>Central Chennai</t>
        </is>
      </c>
      <c r="H388" s="16" t="n">
        <v>87.23999999999999</v>
      </c>
      <c r="I388" s="16" t="n">
        <v>840</v>
      </c>
      <c r="J388" s="16" t="n">
        <v>1080</v>
      </c>
      <c r="K388" s="18" t="n">
        <v>913.9</v>
      </c>
      <c r="L388" s="18" t="n">
        <v>0</v>
      </c>
      <c r="M388" s="16" t="inlineStr">
        <is>
          <t>Yes</t>
        </is>
      </c>
      <c r="N388" s="17" t="n">
        <v>3.513</v>
      </c>
      <c r="O388" s="17" t="n">
        <v>4.742</v>
      </c>
      <c r="P388" s="18" t="n">
        <v>10.2</v>
      </c>
    </row>
    <row r="389">
      <c r="B389" s="10" t="inlineStr">
        <is>
          <t>CHE</t>
        </is>
      </c>
      <c r="C389" s="10" t="inlineStr">
        <is>
          <t>VEH-CHE-009</t>
        </is>
      </c>
      <c r="D389" s="10" t="n">
        <v>6</v>
      </c>
      <c r="E389" s="10" t="inlineStr">
        <is>
          <t>ORD-CHE-001802</t>
        </is>
      </c>
      <c r="F389" s="10" t="inlineStr">
        <is>
          <t>AUTOMOTIVE</t>
        </is>
      </c>
      <c r="G389" s="10" t="inlineStr">
        <is>
          <t>Central Chennai</t>
        </is>
      </c>
      <c r="H389" s="10" t="n">
        <v>49.78</v>
      </c>
      <c r="I389" s="10" t="n">
        <v>840</v>
      </c>
      <c r="J389" s="10" t="n">
        <v>1080</v>
      </c>
      <c r="K389" s="12" t="n">
        <v>927.8</v>
      </c>
      <c r="L389" s="12" t="n">
        <v>0</v>
      </c>
      <c r="M389" s="10" t="inlineStr">
        <is>
          <t>Yes</t>
        </is>
      </c>
      <c r="N389" s="11" t="n">
        <v>0.265</v>
      </c>
      <c r="O389" s="11" t="n">
        <v>0.358</v>
      </c>
      <c r="P389" s="12" t="n">
        <v>0.8</v>
      </c>
    </row>
    <row r="390">
      <c r="B390" s="16" t="inlineStr">
        <is>
          <t>CHE</t>
        </is>
      </c>
      <c r="C390" s="16" t="inlineStr">
        <is>
          <t>VEH-CHE-009</t>
        </is>
      </c>
      <c r="D390" s="16" t="n">
        <v>7</v>
      </c>
      <c r="E390" s="16" t="inlineStr">
        <is>
          <t>ORD-CHE-001794</t>
        </is>
      </c>
      <c r="F390" s="16" t="inlineStr">
        <is>
          <t>AUTOMOTIVE</t>
        </is>
      </c>
      <c r="G390" s="16" t="inlineStr">
        <is>
          <t>Central Chennai</t>
        </is>
      </c>
      <c r="H390" s="16" t="n">
        <v>179.14</v>
      </c>
      <c r="I390" s="16" t="n">
        <v>840</v>
      </c>
      <c r="J390" s="16" t="n">
        <v>1080</v>
      </c>
      <c r="K390" s="18" t="n">
        <v>939.5</v>
      </c>
      <c r="L390" s="18" t="n">
        <v>0</v>
      </c>
      <c r="M390" s="16" t="inlineStr">
        <is>
          <t>Yes</t>
        </is>
      </c>
      <c r="N390" s="17" t="n">
        <v>0</v>
      </c>
      <c r="O390" s="17" t="n">
        <v>0</v>
      </c>
      <c r="P390" s="18" t="n">
        <v>0</v>
      </c>
    </row>
    <row r="391">
      <c r="B391" s="10" t="inlineStr">
        <is>
          <t>CHE</t>
        </is>
      </c>
      <c r="C391" s="10" t="inlineStr">
        <is>
          <t>VEH-CHE-010</t>
        </is>
      </c>
      <c r="D391" s="10" t="n">
        <v>1</v>
      </c>
      <c r="E391" s="10" t="inlineStr">
        <is>
          <t>ORD-CHE-001782</t>
        </is>
      </c>
      <c r="F391" s="10" t="inlineStr">
        <is>
          <t>AUTOMOTIVE</t>
        </is>
      </c>
      <c r="G391" s="10" t="inlineStr">
        <is>
          <t>South Chennai</t>
        </is>
      </c>
      <c r="H391" s="10" t="n">
        <v>154.6</v>
      </c>
      <c r="I391" s="10" t="n">
        <v>480</v>
      </c>
      <c r="J391" s="10" t="n">
        <v>720</v>
      </c>
      <c r="K391" s="12" t="n">
        <v>467.5</v>
      </c>
      <c r="L391" s="12" t="n">
        <v>0</v>
      </c>
      <c r="M391" s="10" t="inlineStr">
        <is>
          <t>Yes</t>
        </is>
      </c>
      <c r="N391" s="11" t="n">
        <v>18.634</v>
      </c>
      <c r="O391" s="11" t="n">
        <v>25.155</v>
      </c>
      <c r="P391" s="12" t="n">
        <v>47.5</v>
      </c>
    </row>
    <row r="392">
      <c r="B392" s="16" t="inlineStr">
        <is>
          <t>CHE</t>
        </is>
      </c>
      <c r="C392" s="16" t="inlineStr">
        <is>
          <t>VEH-CHE-010</t>
        </is>
      </c>
      <c r="D392" s="16" t="n">
        <v>2</v>
      </c>
      <c r="E392" s="16" t="inlineStr">
        <is>
          <t>ORD-CHE-001800</t>
        </is>
      </c>
      <c r="F392" s="16" t="inlineStr">
        <is>
          <t>AUTOMOTIVE</t>
        </is>
      </c>
      <c r="G392" s="16" t="inlineStr">
        <is>
          <t>South Chennai</t>
        </is>
      </c>
      <c r="H392" s="16" t="n">
        <v>135.68</v>
      </c>
      <c r="I392" s="16" t="n">
        <v>480</v>
      </c>
      <c r="J392" s="16" t="n">
        <v>600</v>
      </c>
      <c r="K392" s="18" t="n">
        <v>498.2</v>
      </c>
      <c r="L392" s="18" t="n">
        <v>0</v>
      </c>
      <c r="M392" s="16" t="inlineStr">
        <is>
          <t>Yes</t>
        </is>
      </c>
      <c r="N392" s="17" t="n">
        <v>0.618</v>
      </c>
      <c r="O392" s="17" t="n">
        <v>0.834</v>
      </c>
      <c r="P392" s="18" t="n">
        <v>2.8</v>
      </c>
    </row>
    <row r="393">
      <c r="B393" s="10" t="inlineStr">
        <is>
          <t>CHE</t>
        </is>
      </c>
      <c r="C393" s="10" t="inlineStr">
        <is>
          <t>VEH-CHE-010</t>
        </is>
      </c>
      <c r="D393" s="10" t="n">
        <v>3</v>
      </c>
      <c r="E393" s="10" t="inlineStr">
        <is>
          <t>ORD-CHE-001791</t>
        </is>
      </c>
      <c r="F393" s="10" t="inlineStr">
        <is>
          <t>AUTOMOTIVE</t>
        </is>
      </c>
      <c r="G393" s="10" t="inlineStr">
        <is>
          <t>OMR Corridor</t>
        </is>
      </c>
      <c r="H393" s="10" t="n">
        <v>118.22</v>
      </c>
      <c r="I393" s="10" t="n">
        <v>480</v>
      </c>
      <c r="J393" s="10" t="n">
        <v>720</v>
      </c>
      <c r="K393" s="12" t="n">
        <v>568.8</v>
      </c>
      <c r="L393" s="12" t="n">
        <v>0</v>
      </c>
      <c r="M393" s="10" t="inlineStr">
        <is>
          <t>Yes</t>
        </is>
      </c>
      <c r="N393" s="11" t="n">
        <v>12.62</v>
      </c>
      <c r="O393" s="11" t="n">
        <v>17.037</v>
      </c>
      <c r="P393" s="12" t="n">
        <v>55.8</v>
      </c>
    </row>
    <row r="394">
      <c r="B394" s="16" t="inlineStr">
        <is>
          <t>CHE</t>
        </is>
      </c>
      <c r="C394" s="16" t="inlineStr">
        <is>
          <t>VEH-CHE-010</t>
        </is>
      </c>
      <c r="D394" s="16" t="n">
        <v>4</v>
      </c>
      <c r="E394" s="16" t="inlineStr">
        <is>
          <t>ORD-CHE-001770</t>
        </is>
      </c>
      <c r="F394" s="16" t="inlineStr">
        <is>
          <t>MODERN_RETAIL</t>
        </is>
      </c>
      <c r="G394" s="16" t="inlineStr">
        <is>
          <t>OMR Corridor</t>
        </is>
      </c>
      <c r="H394" s="16" t="n">
        <v>62.89</v>
      </c>
      <c r="I394" s="16" t="n">
        <v>600</v>
      </c>
      <c r="J394" s="16" t="n">
        <v>900</v>
      </c>
      <c r="K394" s="18" t="n">
        <v>601.1</v>
      </c>
      <c r="L394" s="18" t="n">
        <v>0</v>
      </c>
      <c r="M394" s="16" t="inlineStr">
        <is>
          <t>Yes</t>
        </is>
      </c>
      <c r="N394" s="17" t="n">
        <v>4.088</v>
      </c>
      <c r="O394" s="17" t="n">
        <v>5.519</v>
      </c>
      <c r="P394" s="18" t="n">
        <v>18.1</v>
      </c>
    </row>
    <row r="395">
      <c r="B395" s="10" t="inlineStr">
        <is>
          <t>CHE</t>
        </is>
      </c>
      <c r="C395" s="10" t="inlineStr">
        <is>
          <t>VEH-CHE-010</t>
        </is>
      </c>
      <c r="D395" s="10" t="n">
        <v>5</v>
      </c>
      <c r="E395" s="10" t="inlineStr">
        <is>
          <t>ORD-CHE-001776</t>
        </is>
      </c>
      <c r="F395" s="10" t="inlineStr">
        <is>
          <t>MODERN_RETAIL</t>
        </is>
      </c>
      <c r="G395" s="10" t="inlineStr">
        <is>
          <t>OMR Corridor</t>
        </is>
      </c>
      <c r="H395" s="10" t="n">
        <v>128.34</v>
      </c>
      <c r="I395" s="10" t="n">
        <v>480</v>
      </c>
      <c r="J395" s="10" t="n">
        <v>720</v>
      </c>
      <c r="K395" s="12" t="n">
        <v>616.4</v>
      </c>
      <c r="L395" s="12" t="n">
        <v>0</v>
      </c>
      <c r="M395" s="10" t="inlineStr">
        <is>
          <t>Yes</t>
        </is>
      </c>
      <c r="N395" s="11" t="n">
        <v>0.701</v>
      </c>
      <c r="O395" s="11" t="n">
        <v>0.947</v>
      </c>
      <c r="P395" s="12" t="n">
        <v>3.1</v>
      </c>
    </row>
    <row r="396">
      <c r="B396" s="16" t="inlineStr">
        <is>
          <t>CHE</t>
        </is>
      </c>
      <c r="C396" s="16" t="inlineStr">
        <is>
          <t>VEH-CHE-010</t>
        </is>
      </c>
      <c r="D396" s="16" t="n">
        <v>6</v>
      </c>
      <c r="E396" s="16" t="inlineStr">
        <is>
          <t>ORD-CHE-001764</t>
        </is>
      </c>
      <c r="F396" s="16" t="inlineStr">
        <is>
          <t>MODERN_RETAIL</t>
        </is>
      </c>
      <c r="G396" s="16" t="inlineStr">
        <is>
          <t>OMR Corridor</t>
        </is>
      </c>
      <c r="H396" s="16" t="n">
        <v>63.24</v>
      </c>
      <c r="I396" s="16" t="n">
        <v>600</v>
      </c>
      <c r="J396" s="16" t="n">
        <v>900</v>
      </c>
      <c r="K396" s="18" t="n">
        <v>631.5</v>
      </c>
      <c r="L396" s="18" t="n">
        <v>0</v>
      </c>
      <c r="M396" s="16" t="inlineStr">
        <is>
          <t>Yes</t>
        </is>
      </c>
      <c r="N396" s="17" t="n">
        <v>0.143</v>
      </c>
      <c r="O396" s="17" t="n">
        <v>0.193</v>
      </c>
      <c r="P396" s="18" t="n">
        <v>0.6</v>
      </c>
    </row>
    <row r="397">
      <c r="B397" s="10" t="inlineStr">
        <is>
          <t>CHE</t>
        </is>
      </c>
      <c r="C397" s="10" t="inlineStr">
        <is>
          <t>VEH-CHE-010</t>
        </is>
      </c>
      <c r="D397" s="10" t="n">
        <v>7</v>
      </c>
      <c r="E397" s="10" t="inlineStr">
        <is>
          <t>ORD-CHE-001801</t>
        </is>
      </c>
      <c r="F397" s="10" t="inlineStr">
        <is>
          <t>AUTOMOTIVE</t>
        </is>
      </c>
      <c r="G397" s="10" t="inlineStr">
        <is>
          <t>OMR Corridor</t>
        </is>
      </c>
      <c r="H397" s="10" t="n">
        <v>116.71</v>
      </c>
      <c r="I397" s="10" t="n">
        <v>660</v>
      </c>
      <c r="J397" s="10" t="n">
        <v>900</v>
      </c>
      <c r="K397" s="12" t="n">
        <v>656.5</v>
      </c>
      <c r="L397" s="12" t="n">
        <v>0</v>
      </c>
      <c r="M397" s="10" t="inlineStr">
        <is>
          <t>Yes</t>
        </is>
      </c>
      <c r="N397" s="11" t="n">
        <v>2.898</v>
      </c>
      <c r="O397" s="11" t="n">
        <v>3.913</v>
      </c>
      <c r="P397" s="12" t="n">
        <v>12.8</v>
      </c>
    </row>
    <row r="398">
      <c r="B398" s="16" t="inlineStr">
        <is>
          <t>CHE</t>
        </is>
      </c>
      <c r="C398" s="16" t="inlineStr">
        <is>
          <t>VEH-CHE-010</t>
        </is>
      </c>
      <c r="D398" s="16" t="n">
        <v>8</v>
      </c>
      <c r="E398" s="16" t="inlineStr">
        <is>
          <t>ORD-CHE-001805</t>
        </is>
      </c>
      <c r="F398" s="16" t="inlineStr">
        <is>
          <t>AUTOMOTIVE</t>
        </is>
      </c>
      <c r="G398" s="16" t="inlineStr">
        <is>
          <t>OMR Corridor</t>
        </is>
      </c>
      <c r="H398" s="16" t="n">
        <v>83.56</v>
      </c>
      <c r="I398" s="16" t="n">
        <v>480</v>
      </c>
      <c r="J398" s="16" t="n">
        <v>720</v>
      </c>
      <c r="K398" s="18" t="n">
        <v>676.4</v>
      </c>
      <c r="L398" s="18" t="n">
        <v>0</v>
      </c>
      <c r="M398" s="16" t="inlineStr">
        <is>
          <t>Yes</t>
        </is>
      </c>
      <c r="N398" s="17" t="n">
        <v>0.866</v>
      </c>
      <c r="O398" s="17" t="n">
        <v>1.169</v>
      </c>
      <c r="P398" s="18" t="n">
        <v>2.3</v>
      </c>
    </row>
    <row r="399">
      <c r="B399" s="10" t="inlineStr">
        <is>
          <t>CHE</t>
        </is>
      </c>
      <c r="C399" s="10" t="inlineStr">
        <is>
          <t>VEH-CHE-010</t>
        </is>
      </c>
      <c r="D399" s="10" t="n">
        <v>9</v>
      </c>
      <c r="E399" s="10" t="inlineStr">
        <is>
          <t>ORD-CHE-001806</t>
        </is>
      </c>
      <c r="F399" s="10" t="inlineStr">
        <is>
          <t>AUTOMOTIVE</t>
        </is>
      </c>
      <c r="G399" s="10" t="inlineStr">
        <is>
          <t>OMR Corridor</t>
        </is>
      </c>
      <c r="H399" s="10" t="n">
        <v>108.97</v>
      </c>
      <c r="I399" s="10" t="n">
        <v>660</v>
      </c>
      <c r="J399" s="10" t="n">
        <v>900</v>
      </c>
      <c r="K399" s="12" t="n">
        <v>691.7</v>
      </c>
      <c r="L399" s="12" t="n">
        <v>0</v>
      </c>
      <c r="M399" s="10" t="inlineStr">
        <is>
          <t>Yes</t>
        </is>
      </c>
      <c r="N399" s="11" t="n">
        <v>0.866</v>
      </c>
      <c r="O399" s="11" t="n">
        <v>1.169</v>
      </c>
      <c r="P399" s="12" t="n">
        <v>2.3</v>
      </c>
    </row>
    <row r="400">
      <c r="B400" s="16" t="inlineStr">
        <is>
          <t>CHE</t>
        </is>
      </c>
      <c r="C400" s="16" t="inlineStr">
        <is>
          <t>VEH-CHE-012</t>
        </is>
      </c>
      <c r="D400" s="16" t="n">
        <v>1</v>
      </c>
      <c r="E400" s="16" t="inlineStr">
        <is>
          <t>ORD-CHE-001701</t>
        </is>
      </c>
      <c r="F400" s="16" t="inlineStr">
        <is>
          <t>ECOM_B2C</t>
        </is>
      </c>
      <c r="G400" s="16" t="inlineStr">
        <is>
          <t>Central Chennai</t>
        </is>
      </c>
      <c r="H400" s="16" t="n">
        <v>1.73</v>
      </c>
      <c r="I400" s="16" t="n">
        <v>540</v>
      </c>
      <c r="J400" s="16" t="n">
        <v>720</v>
      </c>
      <c r="K400" s="18" t="n">
        <v>540</v>
      </c>
      <c r="L400" s="18" t="n">
        <v>0</v>
      </c>
      <c r="M400" s="16" t="inlineStr">
        <is>
          <t>Yes</t>
        </is>
      </c>
      <c r="N400" s="17" t="n">
        <v>3.376</v>
      </c>
      <c r="O400" s="17" t="n">
        <v>4.558</v>
      </c>
      <c r="P400" s="18" t="n">
        <v>16</v>
      </c>
    </row>
    <row r="401">
      <c r="B401" s="10" t="inlineStr">
        <is>
          <t>CHE</t>
        </is>
      </c>
      <c r="C401" s="10" t="inlineStr">
        <is>
          <t>VEH-CHE-012</t>
        </is>
      </c>
      <c r="D401" s="10" t="n">
        <v>2</v>
      </c>
      <c r="E401" s="10" t="inlineStr">
        <is>
          <t>ORD-CHE-001717</t>
        </is>
      </c>
      <c r="F401" s="10" t="inlineStr">
        <is>
          <t>ECOM_B2C</t>
        </is>
      </c>
      <c r="G401" s="10" t="inlineStr">
        <is>
          <t>West Chennai</t>
        </is>
      </c>
      <c r="H401" s="10" t="n">
        <v>3.36</v>
      </c>
      <c r="I401" s="10" t="n">
        <v>540</v>
      </c>
      <c r="J401" s="10" t="n">
        <v>720</v>
      </c>
      <c r="K401" s="12" t="n">
        <v>554.8</v>
      </c>
      <c r="L401" s="12" t="n">
        <v>0</v>
      </c>
      <c r="M401" s="10" t="inlineStr">
        <is>
          <t>Yes</t>
        </is>
      </c>
      <c r="N401" s="11" t="n">
        <v>2.353</v>
      </c>
      <c r="O401" s="11" t="n">
        <v>3.177</v>
      </c>
      <c r="P401" s="12" t="n">
        <v>10.8</v>
      </c>
    </row>
    <row r="402">
      <c r="B402" s="16" t="inlineStr">
        <is>
          <t>CHE</t>
        </is>
      </c>
      <c r="C402" s="16" t="inlineStr">
        <is>
          <t>VEH-CHE-012</t>
        </is>
      </c>
      <c r="D402" s="16" t="n">
        <v>3</v>
      </c>
      <c r="E402" s="16" t="inlineStr">
        <is>
          <t>ORD-CHE-001726</t>
        </is>
      </c>
      <c r="F402" s="16" t="inlineStr">
        <is>
          <t>ECOM_B2C</t>
        </is>
      </c>
      <c r="G402" s="16" t="inlineStr">
        <is>
          <t>West Chennai</t>
        </is>
      </c>
      <c r="H402" s="16" t="n">
        <v>1.83</v>
      </c>
      <c r="I402" s="16" t="n">
        <v>540</v>
      </c>
      <c r="J402" s="16" t="n">
        <v>720</v>
      </c>
      <c r="K402" s="18" t="n">
        <v>563.7</v>
      </c>
      <c r="L402" s="18" t="n">
        <v>0</v>
      </c>
      <c r="M402" s="16" t="inlineStr">
        <is>
          <t>Yes</t>
        </is>
      </c>
      <c r="N402" s="17" t="n">
        <v>1.091</v>
      </c>
      <c r="O402" s="17" t="n">
        <v>1.473</v>
      </c>
      <c r="P402" s="18" t="n">
        <v>5</v>
      </c>
    </row>
    <row r="403">
      <c r="B403" s="10" t="inlineStr">
        <is>
          <t>CHE</t>
        </is>
      </c>
      <c r="C403" s="10" t="inlineStr">
        <is>
          <t>VEH-CHE-012</t>
        </is>
      </c>
      <c r="D403" s="10" t="n">
        <v>4</v>
      </c>
      <c r="E403" s="10" t="inlineStr">
        <is>
          <t>ORD-CHE-001661</t>
        </is>
      </c>
      <c r="F403" s="10" t="inlineStr">
        <is>
          <t>ECOM_B2C</t>
        </is>
      </c>
      <c r="G403" s="10" t="inlineStr">
        <is>
          <t>Central Chennai</t>
        </is>
      </c>
      <c r="H403" s="10" t="n">
        <v>9.4</v>
      </c>
      <c r="I403" s="10" t="n">
        <v>540</v>
      </c>
      <c r="J403" s="10" t="n">
        <v>720</v>
      </c>
      <c r="K403" s="12" t="n">
        <v>581.1</v>
      </c>
      <c r="L403" s="12" t="n">
        <v>0</v>
      </c>
      <c r="M403" s="10" t="inlineStr">
        <is>
          <t>Yes</t>
        </is>
      </c>
      <c r="N403" s="11" t="n">
        <v>2.814</v>
      </c>
      <c r="O403" s="11" t="n">
        <v>3.799</v>
      </c>
      <c r="P403" s="12" t="n">
        <v>13.3</v>
      </c>
    </row>
    <row r="404">
      <c r="B404" s="16" t="inlineStr">
        <is>
          <t>CHE</t>
        </is>
      </c>
      <c r="C404" s="16" t="inlineStr">
        <is>
          <t>VEH-CHE-012</t>
        </is>
      </c>
      <c r="D404" s="16" t="n">
        <v>5</v>
      </c>
      <c r="E404" s="16" t="inlineStr">
        <is>
          <t>ORD-CHE-001676</t>
        </is>
      </c>
      <c r="F404" s="16" t="inlineStr">
        <is>
          <t>ECOM_B2C</t>
        </is>
      </c>
      <c r="G404" s="16" t="inlineStr">
        <is>
          <t>Central Chennai</t>
        </is>
      </c>
      <c r="H404" s="16" t="n">
        <v>7.9</v>
      </c>
      <c r="I404" s="16" t="n">
        <v>600</v>
      </c>
      <c r="J404" s="16" t="n">
        <v>720</v>
      </c>
      <c r="K404" s="18" t="n">
        <v>596.3</v>
      </c>
      <c r="L404" s="18" t="n">
        <v>0</v>
      </c>
      <c r="M404" s="16" t="inlineStr">
        <is>
          <t>Yes</t>
        </is>
      </c>
      <c r="N404" s="17" t="n">
        <v>2.37</v>
      </c>
      <c r="O404" s="17" t="n">
        <v>3.199</v>
      </c>
      <c r="P404" s="18" t="n">
        <v>11.2</v>
      </c>
    </row>
    <row r="405">
      <c r="B405" s="10" t="inlineStr">
        <is>
          <t>CHE</t>
        </is>
      </c>
      <c r="C405" s="10" t="inlineStr">
        <is>
          <t>VEH-CHE-012</t>
        </is>
      </c>
      <c r="D405" s="10" t="n">
        <v>6</v>
      </c>
      <c r="E405" s="10" t="inlineStr">
        <is>
          <t>ORD-CHE-001631</t>
        </is>
      </c>
      <c r="F405" s="10" t="inlineStr">
        <is>
          <t>ECOM_B2C</t>
        </is>
      </c>
      <c r="G405" s="10" t="inlineStr">
        <is>
          <t>Central Chennai</t>
        </is>
      </c>
      <c r="H405" s="10" t="n">
        <v>3.74</v>
      </c>
      <c r="I405" s="10" t="n">
        <v>540</v>
      </c>
      <c r="J405" s="10" t="n">
        <v>720</v>
      </c>
      <c r="K405" s="12" t="n">
        <v>605.1</v>
      </c>
      <c r="L405" s="12" t="n">
        <v>0</v>
      </c>
      <c r="M405" s="10" t="inlineStr">
        <is>
          <t>Yes</t>
        </is>
      </c>
      <c r="N405" s="11" t="n">
        <v>0.228</v>
      </c>
      <c r="O405" s="11" t="n">
        <v>0.307</v>
      </c>
      <c r="P405" s="12" t="n">
        <v>1.1</v>
      </c>
    </row>
    <row r="406">
      <c r="B406" s="16" t="inlineStr">
        <is>
          <t>CHE</t>
        </is>
      </c>
      <c r="C406" s="16" t="inlineStr">
        <is>
          <t>VEH-CHE-012</t>
        </is>
      </c>
      <c r="D406" s="16" t="n">
        <v>7</v>
      </c>
      <c r="E406" s="16" t="inlineStr">
        <is>
          <t>ORD-CHE-001666</t>
        </is>
      </c>
      <c r="F406" s="16" t="inlineStr">
        <is>
          <t>ECOM_B2C</t>
        </is>
      </c>
      <c r="G406" s="16" t="inlineStr">
        <is>
          <t>Central Chennai</t>
        </is>
      </c>
      <c r="H406" s="16" t="n">
        <v>2.37</v>
      </c>
      <c r="I406" s="16" t="n">
        <v>540</v>
      </c>
      <c r="J406" s="16" t="n">
        <v>720</v>
      </c>
      <c r="K406" s="18" t="n">
        <v>612.5</v>
      </c>
      <c r="L406" s="18" t="n">
        <v>0</v>
      </c>
      <c r="M406" s="16" t="inlineStr">
        <is>
          <t>Yes</t>
        </is>
      </c>
      <c r="N406" s="17" t="n">
        <v>0.713</v>
      </c>
      <c r="O406" s="17" t="n">
        <v>0.962</v>
      </c>
      <c r="P406" s="18" t="n">
        <v>3.4</v>
      </c>
    </row>
    <row r="407">
      <c r="B407" s="10" t="inlineStr">
        <is>
          <t>CHE</t>
        </is>
      </c>
      <c r="C407" s="10" t="inlineStr">
        <is>
          <t>VEH-CHE-012</t>
        </is>
      </c>
      <c r="D407" s="10" t="n">
        <v>8</v>
      </c>
      <c r="E407" s="10" t="inlineStr">
        <is>
          <t>ORD-CHE-001657</t>
        </is>
      </c>
      <c r="F407" s="10" t="inlineStr">
        <is>
          <t>ECOM_B2C</t>
        </is>
      </c>
      <c r="G407" s="10" t="inlineStr">
        <is>
          <t>Central Chennai</t>
        </is>
      </c>
      <c r="H407" s="10" t="n">
        <v>23.74</v>
      </c>
      <c r="I407" s="10" t="n">
        <v>540</v>
      </c>
      <c r="J407" s="10" t="n">
        <v>720</v>
      </c>
      <c r="K407" s="12" t="n">
        <v>630.5</v>
      </c>
      <c r="L407" s="12" t="n">
        <v>0</v>
      </c>
      <c r="M407" s="10" t="inlineStr">
        <is>
          <t>Yes</t>
        </is>
      </c>
      <c r="N407" s="11" t="n">
        <v>2.958</v>
      </c>
      <c r="O407" s="11" t="n">
        <v>3.994</v>
      </c>
      <c r="P407" s="12" t="n">
        <v>14</v>
      </c>
    </row>
    <row r="408">
      <c r="B408" s="16" t="inlineStr">
        <is>
          <t>CHE</t>
        </is>
      </c>
      <c r="C408" s="16" t="inlineStr">
        <is>
          <t>VEH-CHE-012</t>
        </is>
      </c>
      <c r="D408" s="16" t="n">
        <v>9</v>
      </c>
      <c r="E408" s="16" t="inlineStr">
        <is>
          <t>ORD-CHE-001694</t>
        </is>
      </c>
      <c r="F408" s="16" t="inlineStr">
        <is>
          <t>ECOM_B2C</t>
        </is>
      </c>
      <c r="G408" s="16" t="inlineStr">
        <is>
          <t>South Chennai</t>
        </is>
      </c>
      <c r="H408" s="16" t="n">
        <v>2.21</v>
      </c>
      <c r="I408" s="16" t="n">
        <v>540</v>
      </c>
      <c r="J408" s="16" t="n">
        <v>720</v>
      </c>
      <c r="K408" s="18" t="n">
        <v>652.5</v>
      </c>
      <c r="L408" s="18" t="n">
        <v>0</v>
      </c>
      <c r="M408" s="16" t="inlineStr">
        <is>
          <t>Yes</t>
        </is>
      </c>
      <c r="N408" s="17" t="n">
        <v>3.921</v>
      </c>
      <c r="O408" s="17" t="n">
        <v>5.294</v>
      </c>
      <c r="P408" s="18" t="n">
        <v>18</v>
      </c>
    </row>
    <row r="409">
      <c r="B409" s="10" t="inlineStr">
        <is>
          <t>CHE</t>
        </is>
      </c>
      <c r="C409" s="10" t="inlineStr">
        <is>
          <t>VEH-CHE-012</t>
        </is>
      </c>
      <c r="D409" s="10" t="n">
        <v>10</v>
      </c>
      <c r="E409" s="10" t="inlineStr">
        <is>
          <t>ORD-CHE-001709</t>
        </is>
      </c>
      <c r="F409" s="10" t="inlineStr">
        <is>
          <t>ECOM_B2C</t>
        </is>
      </c>
      <c r="G409" s="10" t="inlineStr">
        <is>
          <t>South Chennai</t>
        </is>
      </c>
      <c r="H409" s="10" t="n">
        <v>1.73</v>
      </c>
      <c r="I409" s="10" t="n">
        <v>540</v>
      </c>
      <c r="J409" s="10" t="n">
        <v>720</v>
      </c>
      <c r="K409" s="12" t="n">
        <v>658.1</v>
      </c>
      <c r="L409" s="12" t="n">
        <v>0</v>
      </c>
      <c r="M409" s="10" t="inlineStr">
        <is>
          <t>Yes</t>
        </is>
      </c>
      <c r="N409" s="11" t="n">
        <v>0.365</v>
      </c>
      <c r="O409" s="11" t="n">
        <v>0.492</v>
      </c>
      <c r="P409" s="12" t="n">
        <v>1.7</v>
      </c>
    </row>
    <row r="410">
      <c r="B410" s="16" t="inlineStr">
        <is>
          <t>CHE</t>
        </is>
      </c>
      <c r="C410" s="16" t="inlineStr">
        <is>
          <t>VEH-CHE-012</t>
        </is>
      </c>
      <c r="D410" s="16" t="n">
        <v>11</v>
      </c>
      <c r="E410" s="16" t="inlineStr">
        <is>
          <t>ORD-CHE-001650</t>
        </is>
      </c>
      <c r="F410" s="16" t="inlineStr">
        <is>
          <t>ECOM_B2C</t>
        </is>
      </c>
      <c r="G410" s="16" t="inlineStr">
        <is>
          <t>South Chennai</t>
        </is>
      </c>
      <c r="H410" s="16" t="n">
        <v>1.71</v>
      </c>
      <c r="I410" s="16" t="n">
        <v>720</v>
      </c>
      <c r="J410" s="16" t="n">
        <v>900</v>
      </c>
      <c r="K410" s="18" t="n">
        <v>662.1</v>
      </c>
      <c r="L410" s="18" t="n">
        <v>0</v>
      </c>
      <c r="M410" s="16" t="inlineStr">
        <is>
          <t>Yes</t>
        </is>
      </c>
      <c r="N410" s="17" t="n">
        <v>0</v>
      </c>
      <c r="O410" s="17" t="n">
        <v>0</v>
      </c>
      <c r="P410" s="18" t="n">
        <v>0</v>
      </c>
    </row>
    <row r="411">
      <c r="B411" s="10" t="inlineStr">
        <is>
          <t>CHE</t>
        </is>
      </c>
      <c r="C411" s="10" t="inlineStr">
        <is>
          <t>VEH-CHE-014</t>
        </is>
      </c>
      <c r="D411" s="10" t="n">
        <v>1</v>
      </c>
      <c r="E411" s="10" t="inlineStr">
        <is>
          <t>ORD-CHE-001614</t>
        </is>
      </c>
      <c r="F411" s="10" t="inlineStr">
        <is>
          <t>ECOM_B2C</t>
        </is>
      </c>
      <c r="G411" s="10" t="inlineStr">
        <is>
          <t>South Chennai</t>
        </is>
      </c>
      <c r="H411" s="10" t="n">
        <v>1.68</v>
      </c>
      <c r="I411" s="10" t="n">
        <v>540</v>
      </c>
      <c r="J411" s="10" t="n">
        <v>720</v>
      </c>
      <c r="K411" s="12" t="n">
        <v>540</v>
      </c>
      <c r="L411" s="12" t="n">
        <v>0</v>
      </c>
      <c r="M411" s="10" t="inlineStr">
        <is>
          <t>Yes</t>
        </is>
      </c>
      <c r="N411" s="11" t="n">
        <v>2.755</v>
      </c>
      <c r="O411" s="11" t="n">
        <v>3.719</v>
      </c>
      <c r="P411" s="12" t="n">
        <v>12.6</v>
      </c>
    </row>
    <row r="412">
      <c r="B412" s="16" t="inlineStr">
        <is>
          <t>CHE</t>
        </is>
      </c>
      <c r="C412" s="16" t="inlineStr">
        <is>
          <t>VEH-CHE-014</t>
        </is>
      </c>
      <c r="D412" s="16" t="n">
        <v>2</v>
      </c>
      <c r="E412" s="16" t="inlineStr">
        <is>
          <t>ORD-CHE-001728</t>
        </is>
      </c>
      <c r="F412" s="16" t="inlineStr">
        <is>
          <t>ECOM_B2C</t>
        </is>
      </c>
      <c r="G412" s="16" t="inlineStr">
        <is>
          <t>South Chennai</t>
        </is>
      </c>
      <c r="H412" s="16" t="n">
        <v>1.13</v>
      </c>
      <c r="I412" s="16" t="n">
        <v>540</v>
      </c>
      <c r="J412" s="16" t="n">
        <v>720</v>
      </c>
      <c r="K412" s="18" t="n">
        <v>548.3</v>
      </c>
      <c r="L412" s="18" t="n">
        <v>0</v>
      </c>
      <c r="M412" s="16" t="inlineStr">
        <is>
          <t>Yes</t>
        </is>
      </c>
      <c r="N412" s="17" t="n">
        <v>0.9379999999999999</v>
      </c>
      <c r="O412" s="17" t="n">
        <v>1.266</v>
      </c>
      <c r="P412" s="18" t="n">
        <v>4.3</v>
      </c>
    </row>
    <row r="413">
      <c r="B413" s="10" t="inlineStr">
        <is>
          <t>CHE</t>
        </is>
      </c>
      <c r="C413" s="10" t="inlineStr">
        <is>
          <t>VEH-CHE-014</t>
        </is>
      </c>
      <c r="D413" s="10" t="n">
        <v>3</v>
      </c>
      <c r="E413" s="10" t="inlineStr">
        <is>
          <t>ORD-CHE-001626</t>
        </is>
      </c>
      <c r="F413" s="10" t="inlineStr">
        <is>
          <t>ECOM_B2C</t>
        </is>
      </c>
      <c r="G413" s="10" t="inlineStr">
        <is>
          <t>South Chennai</t>
        </is>
      </c>
      <c r="H413" s="10" t="n">
        <v>4.86</v>
      </c>
      <c r="I413" s="10" t="n">
        <v>540</v>
      </c>
      <c r="J413" s="10" t="n">
        <v>720</v>
      </c>
      <c r="K413" s="12" t="n">
        <v>552.3</v>
      </c>
      <c r="L413" s="12" t="n">
        <v>0</v>
      </c>
      <c r="M413" s="10" t="inlineStr">
        <is>
          <t>Yes</t>
        </is>
      </c>
      <c r="N413" s="11" t="n">
        <v>0</v>
      </c>
      <c r="O413" s="11" t="n">
        <v>0</v>
      </c>
      <c r="P413" s="12" t="n">
        <v>0</v>
      </c>
    </row>
    <row r="414">
      <c r="B414" s="16" t="inlineStr">
        <is>
          <t>CHE</t>
        </is>
      </c>
      <c r="C414" s="16" t="inlineStr">
        <is>
          <t>VEH-CHE-014</t>
        </is>
      </c>
      <c r="D414" s="16" t="n">
        <v>4</v>
      </c>
      <c r="E414" s="16" t="inlineStr">
        <is>
          <t>ORD-CHE-001681</t>
        </is>
      </c>
      <c r="F414" s="16" t="inlineStr">
        <is>
          <t>ECOM_B2C</t>
        </is>
      </c>
      <c r="G414" s="16" t="inlineStr">
        <is>
          <t>South Chennai</t>
        </is>
      </c>
      <c r="H414" s="16" t="n">
        <v>2.09</v>
      </c>
      <c r="I414" s="16" t="n">
        <v>540</v>
      </c>
      <c r="J414" s="16" t="n">
        <v>720</v>
      </c>
      <c r="K414" s="18" t="n">
        <v>557.2</v>
      </c>
      <c r="L414" s="18" t="n">
        <v>0</v>
      </c>
      <c r="M414" s="16" t="inlineStr">
        <is>
          <t>Yes</t>
        </is>
      </c>
      <c r="N414" s="17" t="n">
        <v>0.186</v>
      </c>
      <c r="O414" s="17" t="n">
        <v>0.251</v>
      </c>
      <c r="P414" s="18" t="n">
        <v>0.9</v>
      </c>
    </row>
    <row r="415">
      <c r="B415" s="10" t="inlineStr">
        <is>
          <t>CHE</t>
        </is>
      </c>
      <c r="C415" s="10" t="inlineStr">
        <is>
          <t>VEH-CHE-014</t>
        </is>
      </c>
      <c r="D415" s="10" t="n">
        <v>5</v>
      </c>
      <c r="E415" s="10" t="inlineStr">
        <is>
          <t>ORD-CHE-001686</t>
        </is>
      </c>
      <c r="F415" s="10" t="inlineStr">
        <is>
          <t>ECOM_B2C</t>
        </is>
      </c>
      <c r="G415" s="10" t="inlineStr">
        <is>
          <t>OMR Corridor</t>
        </is>
      </c>
      <c r="H415" s="10" t="n">
        <v>5</v>
      </c>
      <c r="I415" s="10" t="n">
        <v>600</v>
      </c>
      <c r="J415" s="10" t="n">
        <v>720</v>
      </c>
      <c r="K415" s="12" t="n">
        <v>570.8</v>
      </c>
      <c r="L415" s="12" t="n">
        <v>0</v>
      </c>
      <c r="M415" s="10" t="inlineStr">
        <is>
          <t>Yes</t>
        </is>
      </c>
      <c r="N415" s="11" t="n">
        <v>2.176</v>
      </c>
      <c r="O415" s="11" t="n">
        <v>2.937</v>
      </c>
      <c r="P415" s="12" t="n">
        <v>9.6</v>
      </c>
    </row>
    <row r="416">
      <c r="B416" s="16" t="inlineStr">
        <is>
          <t>CHE</t>
        </is>
      </c>
      <c r="C416" s="16" t="inlineStr">
        <is>
          <t>VEH-CHE-014</t>
        </is>
      </c>
      <c r="D416" s="16" t="n">
        <v>6</v>
      </c>
      <c r="E416" s="16" t="inlineStr">
        <is>
          <t>ORD-CHE-001664</t>
        </is>
      </c>
      <c r="F416" s="16" t="inlineStr">
        <is>
          <t>ECOM_B2C</t>
        </is>
      </c>
      <c r="G416" s="16" t="inlineStr">
        <is>
          <t>OMR Corridor</t>
        </is>
      </c>
      <c r="H416" s="16" t="n">
        <v>1.63</v>
      </c>
      <c r="I416" s="16" t="n">
        <v>720</v>
      </c>
      <c r="J416" s="16" t="n">
        <v>900</v>
      </c>
      <c r="K416" s="18" t="n">
        <v>607.3</v>
      </c>
      <c r="L416" s="18" t="n">
        <v>0</v>
      </c>
      <c r="M416" s="16" t="inlineStr">
        <is>
          <t>Yes</t>
        </is>
      </c>
      <c r="N416" s="17" t="n">
        <v>0.754</v>
      </c>
      <c r="O416" s="17" t="n">
        <v>1.018</v>
      </c>
      <c r="P416" s="18" t="n">
        <v>3.3</v>
      </c>
    </row>
    <row r="417">
      <c r="B417" s="10" t="inlineStr">
        <is>
          <t>CHE</t>
        </is>
      </c>
      <c r="C417" s="10" t="inlineStr">
        <is>
          <t>VEH-CHE-014</t>
        </is>
      </c>
      <c r="D417" s="10" t="n">
        <v>7</v>
      </c>
      <c r="E417" s="10" t="inlineStr">
        <is>
          <t>ORD-CHE-001634</t>
        </is>
      </c>
      <c r="F417" s="10" t="inlineStr">
        <is>
          <t>ECOM_B2C</t>
        </is>
      </c>
      <c r="G417" s="10" t="inlineStr">
        <is>
          <t>South Chennai</t>
        </is>
      </c>
      <c r="H417" s="10" t="n">
        <v>1.76</v>
      </c>
      <c r="I417" s="10" t="n">
        <v>720</v>
      </c>
      <c r="J417" s="10" t="n">
        <v>900</v>
      </c>
      <c r="K417" s="12" t="n">
        <v>734.6</v>
      </c>
      <c r="L417" s="12" t="n">
        <v>0</v>
      </c>
      <c r="M417" s="10" t="inlineStr">
        <is>
          <t>Yes</t>
        </is>
      </c>
      <c r="N417" s="11" t="n">
        <v>3.768</v>
      </c>
      <c r="O417" s="11" t="n">
        <v>5.087</v>
      </c>
      <c r="P417" s="12" t="n">
        <v>10.6</v>
      </c>
    </row>
    <row r="418">
      <c r="B418" s="16" t="inlineStr">
        <is>
          <t>CHE</t>
        </is>
      </c>
      <c r="C418" s="16" t="inlineStr">
        <is>
          <t>VEH-CHE-014</t>
        </is>
      </c>
      <c r="D418" s="16" t="n">
        <v>8</v>
      </c>
      <c r="E418" s="16" t="inlineStr">
        <is>
          <t>ORD-CHE-001699</t>
        </is>
      </c>
      <c r="F418" s="16" t="inlineStr">
        <is>
          <t>ECOM_B2C</t>
        </is>
      </c>
      <c r="G418" s="16" t="inlineStr">
        <is>
          <t>Central Chennai</t>
        </is>
      </c>
      <c r="H418" s="16" t="n">
        <v>3.23</v>
      </c>
      <c r="I418" s="16" t="n">
        <v>720</v>
      </c>
      <c r="J418" s="16" t="n">
        <v>900</v>
      </c>
      <c r="K418" s="18" t="n">
        <v>751.7</v>
      </c>
      <c r="L418" s="18" t="n">
        <v>0</v>
      </c>
      <c r="M418" s="16" t="inlineStr">
        <is>
          <t>Yes</t>
        </is>
      </c>
      <c r="N418" s="17" t="n">
        <v>4.552</v>
      </c>
      <c r="O418" s="17" t="n">
        <v>6.145</v>
      </c>
      <c r="P418" s="18" t="n">
        <v>13.2</v>
      </c>
    </row>
    <row r="419">
      <c r="B419" s="10" t="inlineStr">
        <is>
          <t>CHE</t>
        </is>
      </c>
      <c r="C419" s="10" t="inlineStr">
        <is>
          <t>VEH-CHE-014</t>
        </is>
      </c>
      <c r="D419" s="10" t="n">
        <v>9</v>
      </c>
      <c r="E419" s="10" t="inlineStr">
        <is>
          <t>ORD-CHE-001624</t>
        </is>
      </c>
      <c r="F419" s="10" t="inlineStr">
        <is>
          <t>ECOM_B2C</t>
        </is>
      </c>
      <c r="G419" s="10" t="inlineStr">
        <is>
          <t>Central Chennai</t>
        </is>
      </c>
      <c r="H419" s="10" t="n">
        <v>0.63</v>
      </c>
      <c r="I419" s="10" t="n">
        <v>720</v>
      </c>
      <c r="J419" s="10" t="n">
        <v>900</v>
      </c>
      <c r="K419" s="12" t="n">
        <v>768.5</v>
      </c>
      <c r="L419" s="12" t="n">
        <v>0</v>
      </c>
      <c r="M419" s="10" t="inlineStr">
        <is>
          <t>Yes</t>
        </is>
      </c>
      <c r="N419" s="11" t="n">
        <v>4.407</v>
      </c>
      <c r="O419" s="11" t="n">
        <v>5.949</v>
      </c>
      <c r="P419" s="12" t="n">
        <v>12.8</v>
      </c>
    </row>
    <row r="420">
      <c r="B420" s="16" t="inlineStr">
        <is>
          <t>CHE</t>
        </is>
      </c>
      <c r="C420" s="16" t="inlineStr">
        <is>
          <t>VEH-CHE-014</t>
        </is>
      </c>
      <c r="D420" s="16" t="n">
        <v>10</v>
      </c>
      <c r="E420" s="16" t="inlineStr">
        <is>
          <t>ORD-CHE-001620</t>
        </is>
      </c>
      <c r="F420" s="16" t="inlineStr">
        <is>
          <t>ECOM_B2C</t>
        </is>
      </c>
      <c r="G420" s="16" t="inlineStr">
        <is>
          <t>West Chennai</t>
        </is>
      </c>
      <c r="H420" s="16" t="n">
        <v>9.17</v>
      </c>
      <c r="I420" s="16" t="n">
        <v>720</v>
      </c>
      <c r="J420" s="16" t="n">
        <v>900</v>
      </c>
      <c r="K420" s="18" t="n">
        <v>777.2</v>
      </c>
      <c r="L420" s="18" t="n">
        <v>0</v>
      </c>
      <c r="M420" s="16" t="inlineStr">
        <is>
          <t>Yes</t>
        </is>
      </c>
      <c r="N420" s="17" t="n">
        <v>1.687</v>
      </c>
      <c r="O420" s="17" t="n">
        <v>2.277</v>
      </c>
      <c r="P420" s="18" t="n">
        <v>4.7</v>
      </c>
    </row>
    <row r="421">
      <c r="B421" s="10" t="inlineStr">
        <is>
          <t>CHE</t>
        </is>
      </c>
      <c r="C421" s="10" t="inlineStr">
        <is>
          <t>VEH-CHE-014</t>
        </is>
      </c>
      <c r="D421" s="10" t="n">
        <v>11</v>
      </c>
      <c r="E421" s="10" t="inlineStr">
        <is>
          <t>ORD-CHE-001668</t>
        </is>
      </c>
      <c r="F421" s="10" t="inlineStr">
        <is>
          <t>ECOM_B2C</t>
        </is>
      </c>
      <c r="G421" s="10" t="inlineStr">
        <is>
          <t>West Chennai</t>
        </is>
      </c>
      <c r="H421" s="10" t="n">
        <v>12.91</v>
      </c>
      <c r="I421" s="10" t="n">
        <v>720</v>
      </c>
      <c r="J421" s="10" t="n">
        <v>900</v>
      </c>
      <c r="K421" s="12" t="n">
        <v>795.8</v>
      </c>
      <c r="L421" s="12" t="n">
        <v>0</v>
      </c>
      <c r="M421" s="10" t="inlineStr">
        <is>
          <t>Yes</t>
        </is>
      </c>
      <c r="N421" s="11" t="n">
        <v>5.225</v>
      </c>
      <c r="O421" s="11" t="n">
        <v>7.054</v>
      </c>
      <c r="P421" s="12" t="n">
        <v>14.6</v>
      </c>
    </row>
    <row r="422">
      <c r="B422" s="16" t="inlineStr">
        <is>
          <t>CHE</t>
        </is>
      </c>
      <c r="C422" s="16" t="inlineStr">
        <is>
          <t>VEH-CHE-014</t>
        </is>
      </c>
      <c r="D422" s="16" t="n">
        <v>12</v>
      </c>
      <c r="E422" s="16" t="inlineStr">
        <is>
          <t>ORD-CHE-001727</t>
        </is>
      </c>
      <c r="F422" s="16" t="inlineStr">
        <is>
          <t>ECOM_B2C</t>
        </is>
      </c>
      <c r="G422" s="16" t="inlineStr">
        <is>
          <t>West Chennai</t>
        </is>
      </c>
      <c r="H422" s="16" t="n">
        <v>2.39</v>
      </c>
      <c r="I422" s="16" t="n">
        <v>720</v>
      </c>
      <c r="J422" s="16" t="n">
        <v>900</v>
      </c>
      <c r="K422" s="18" t="n">
        <v>802.8</v>
      </c>
      <c r="L422" s="18" t="n">
        <v>0</v>
      </c>
      <c r="M422" s="16" t="inlineStr">
        <is>
          <t>Yes</t>
        </is>
      </c>
      <c r="N422" s="17" t="n">
        <v>1.084</v>
      </c>
      <c r="O422" s="17" t="n">
        <v>1.463</v>
      </c>
      <c r="P422" s="18" t="n">
        <v>3</v>
      </c>
    </row>
    <row r="423">
      <c r="B423" s="10" t="inlineStr">
        <is>
          <t>CHE</t>
        </is>
      </c>
      <c r="C423" s="10" t="inlineStr">
        <is>
          <t>VEH-CHE-014</t>
        </is>
      </c>
      <c r="D423" s="10" t="n">
        <v>13</v>
      </c>
      <c r="E423" s="10" t="inlineStr">
        <is>
          <t>ORD-CHE-001662</t>
        </is>
      </c>
      <c r="F423" s="10" t="inlineStr">
        <is>
          <t>ECOM_B2C</t>
        </is>
      </c>
      <c r="G423" s="10" t="inlineStr">
        <is>
          <t>West Chennai</t>
        </is>
      </c>
      <c r="H423" s="10" t="n">
        <v>1.53</v>
      </c>
      <c r="I423" s="10" t="n">
        <v>840</v>
      </c>
      <c r="J423" s="10" t="n">
        <v>960</v>
      </c>
      <c r="K423" s="12" t="n">
        <v>807.4</v>
      </c>
      <c r="L423" s="12" t="n">
        <v>0</v>
      </c>
      <c r="M423" s="10" t="inlineStr">
        <is>
          <t>Yes</t>
        </is>
      </c>
      <c r="N423" s="11" t="n">
        <v>0.186</v>
      </c>
      <c r="O423" s="11" t="n">
        <v>0.251</v>
      </c>
      <c r="P423" s="12" t="n">
        <v>0.5</v>
      </c>
    </row>
    <row r="424">
      <c r="B424" s="16" t="inlineStr">
        <is>
          <t>CHE</t>
        </is>
      </c>
      <c r="C424" s="16" t="inlineStr">
        <is>
          <t>VEH-CHE-014</t>
        </is>
      </c>
      <c r="D424" s="16" t="n">
        <v>14</v>
      </c>
      <c r="E424" s="16" t="inlineStr">
        <is>
          <t>ORD-CHE-001638</t>
        </is>
      </c>
      <c r="F424" s="16" t="inlineStr">
        <is>
          <t>ECOM_B2C</t>
        </is>
      </c>
      <c r="G424" s="16" t="inlineStr">
        <is>
          <t>West Chennai</t>
        </is>
      </c>
      <c r="H424" s="16" t="n">
        <v>1.29</v>
      </c>
      <c r="I424" s="16" t="n">
        <v>720</v>
      </c>
      <c r="J424" s="16" t="n">
        <v>900</v>
      </c>
      <c r="K424" s="18" t="n">
        <v>860.7</v>
      </c>
      <c r="L424" s="18" t="n">
        <v>0</v>
      </c>
      <c r="M424" s="16" t="inlineStr">
        <is>
          <t>Yes</t>
        </is>
      </c>
      <c r="N424" s="17" t="n">
        <v>5.964</v>
      </c>
      <c r="O424" s="17" t="n">
        <v>8.051</v>
      </c>
      <c r="P424" s="18" t="n">
        <v>16.7</v>
      </c>
    </row>
    <row r="425">
      <c r="B425" s="10" t="inlineStr">
        <is>
          <t>CHE</t>
        </is>
      </c>
      <c r="C425" s="10" t="inlineStr">
        <is>
          <t>VEH-CHE-014</t>
        </is>
      </c>
      <c r="D425" s="10" t="n">
        <v>15</v>
      </c>
      <c r="E425" s="10" t="inlineStr">
        <is>
          <t>ORD-CHE-001729</t>
        </is>
      </c>
      <c r="F425" s="10" t="inlineStr">
        <is>
          <t>ECOM_B2C</t>
        </is>
      </c>
      <c r="G425" s="10" t="inlineStr">
        <is>
          <t>Central Chennai</t>
        </is>
      </c>
      <c r="H425" s="10" t="n">
        <v>0.8</v>
      </c>
      <c r="I425" s="10" t="n">
        <v>720</v>
      </c>
      <c r="J425" s="10" t="n">
        <v>900</v>
      </c>
      <c r="K425" s="12" t="n">
        <v>873.7</v>
      </c>
      <c r="L425" s="12" t="n">
        <v>0</v>
      </c>
      <c r="M425" s="10" t="inlineStr">
        <is>
          <t>Yes</t>
        </is>
      </c>
      <c r="N425" s="11" t="n">
        <v>3.127</v>
      </c>
      <c r="O425" s="11" t="n">
        <v>4.222</v>
      </c>
      <c r="P425" s="12" t="n">
        <v>9.1</v>
      </c>
    </row>
    <row r="426">
      <c r="B426" s="16" t="inlineStr">
        <is>
          <t>CHE</t>
        </is>
      </c>
      <c r="C426" s="16" t="inlineStr">
        <is>
          <t>VEH-CHE-014</t>
        </is>
      </c>
      <c r="D426" s="16" t="n">
        <v>16</v>
      </c>
      <c r="E426" s="16" t="inlineStr">
        <is>
          <t>ORD-CHE-001685</t>
        </is>
      </c>
      <c r="F426" s="16" t="inlineStr">
        <is>
          <t>ECOM_B2C</t>
        </is>
      </c>
      <c r="G426" s="16" t="inlineStr">
        <is>
          <t>Central Chennai</t>
        </is>
      </c>
      <c r="H426" s="16" t="n">
        <v>5.83</v>
      </c>
      <c r="I426" s="16" t="n">
        <v>720</v>
      </c>
      <c r="J426" s="16" t="n">
        <v>900</v>
      </c>
      <c r="K426" s="18" t="n">
        <v>878.1</v>
      </c>
      <c r="L426" s="18" t="n">
        <v>0</v>
      </c>
      <c r="M426" s="16" t="inlineStr">
        <is>
          <t>Yes</t>
        </is>
      </c>
      <c r="N426" s="17" t="n">
        <v>0.146</v>
      </c>
      <c r="O426" s="17" t="n">
        <v>0.198</v>
      </c>
      <c r="P426" s="18" t="n">
        <v>0.4</v>
      </c>
    </row>
    <row r="427">
      <c r="B427" s="10" t="inlineStr">
        <is>
          <t>CHE</t>
        </is>
      </c>
      <c r="C427" s="10" t="inlineStr">
        <is>
          <t>VEH-CHE-014</t>
        </is>
      </c>
      <c r="D427" s="10" t="n">
        <v>17</v>
      </c>
      <c r="E427" s="10" t="inlineStr">
        <is>
          <t>ORD-CHE-001704</t>
        </is>
      </c>
      <c r="F427" s="10" t="inlineStr">
        <is>
          <t>ECOM_B2C</t>
        </is>
      </c>
      <c r="G427" s="10" t="inlineStr">
        <is>
          <t>Central Chennai</t>
        </is>
      </c>
      <c r="H427" s="10" t="n">
        <v>7.03</v>
      </c>
      <c r="I427" s="10" t="n">
        <v>720</v>
      </c>
      <c r="J427" s="10" t="n">
        <v>900</v>
      </c>
      <c r="K427" s="12" t="n">
        <v>883.8</v>
      </c>
      <c r="L427" s="12" t="n">
        <v>0</v>
      </c>
      <c r="M427" s="10" t="inlineStr">
        <is>
          <t>Yes</t>
        </is>
      </c>
      <c r="N427" s="11" t="n">
        <v>0.577</v>
      </c>
      <c r="O427" s="11" t="n">
        <v>0.779</v>
      </c>
      <c r="P427" s="12" t="n">
        <v>1.7</v>
      </c>
    </row>
    <row r="428">
      <c r="B428" s="16" t="inlineStr">
        <is>
          <t>CHE</t>
        </is>
      </c>
      <c r="C428" s="16" t="inlineStr">
        <is>
          <t>VEH-CHE-014</t>
        </is>
      </c>
      <c r="D428" s="16" t="n">
        <v>18</v>
      </c>
      <c r="E428" s="16" t="inlineStr">
        <is>
          <t>ORD-CHE-001678</t>
        </is>
      </c>
      <c r="F428" s="16" t="inlineStr">
        <is>
          <t>ECOM_B2C</t>
        </is>
      </c>
      <c r="G428" s="16" t="inlineStr">
        <is>
          <t>Central Chennai</t>
        </is>
      </c>
      <c r="H428" s="16" t="n">
        <v>1.05</v>
      </c>
      <c r="I428" s="16" t="n">
        <v>720</v>
      </c>
      <c r="J428" s="16" t="n">
        <v>900</v>
      </c>
      <c r="K428" s="18" t="n">
        <v>888.1</v>
      </c>
      <c r="L428" s="18" t="n">
        <v>0</v>
      </c>
      <c r="M428" s="16" t="inlineStr">
        <is>
          <t>Yes</t>
        </is>
      </c>
      <c r="N428" s="17" t="n">
        <v>0.096</v>
      </c>
      <c r="O428" s="17" t="n">
        <v>0.129</v>
      </c>
      <c r="P428" s="18" t="n">
        <v>0.3</v>
      </c>
    </row>
    <row r="429">
      <c r="B429" s="10" t="inlineStr">
        <is>
          <t>CHE</t>
        </is>
      </c>
      <c r="C429" s="10" t="inlineStr">
        <is>
          <t>VEH-CHE-014</t>
        </is>
      </c>
      <c r="D429" s="10" t="n">
        <v>19</v>
      </c>
      <c r="E429" s="10" t="inlineStr">
        <is>
          <t>ORD-CHE-001703</t>
        </is>
      </c>
      <c r="F429" s="10" t="inlineStr">
        <is>
          <t>ECOM_B2C</t>
        </is>
      </c>
      <c r="G429" s="10" t="inlineStr">
        <is>
          <t>Central Chennai</t>
        </is>
      </c>
      <c r="H429" s="10" t="n">
        <v>1.56</v>
      </c>
      <c r="I429" s="10" t="n">
        <v>720</v>
      </c>
      <c r="J429" s="10" t="n">
        <v>900</v>
      </c>
      <c r="K429" s="12" t="n">
        <v>899.2</v>
      </c>
      <c r="L429" s="12" t="n">
        <v>0</v>
      </c>
      <c r="M429" s="10" t="inlineStr">
        <is>
          <t>Yes</t>
        </is>
      </c>
      <c r="N429" s="11" t="n">
        <v>2.439</v>
      </c>
      <c r="O429" s="11" t="n">
        <v>3.293</v>
      </c>
      <c r="P429" s="12" t="n">
        <v>7.1</v>
      </c>
    </row>
    <row r="430">
      <c r="B430" s="16" t="inlineStr">
        <is>
          <t>CHE</t>
        </is>
      </c>
      <c r="C430" s="16" t="inlineStr">
        <is>
          <t>VEH-CHE-014</t>
        </is>
      </c>
      <c r="D430" s="16" t="n">
        <v>20</v>
      </c>
      <c r="E430" s="16" t="inlineStr">
        <is>
          <t>ORD-CHE-001629</t>
        </is>
      </c>
      <c r="F430" s="16" t="inlineStr">
        <is>
          <t>ECOM_B2C</t>
        </is>
      </c>
      <c r="G430" s="16" t="inlineStr">
        <is>
          <t>Central Chennai</t>
        </is>
      </c>
      <c r="H430" s="16" t="n">
        <v>5.61</v>
      </c>
      <c r="I430" s="16" t="n">
        <v>840</v>
      </c>
      <c r="J430" s="16" t="n">
        <v>960</v>
      </c>
      <c r="K430" s="18" t="n">
        <v>907.3</v>
      </c>
      <c r="L430" s="18" t="n">
        <v>0</v>
      </c>
      <c r="M430" s="16" t="inlineStr">
        <is>
          <t>Yes</t>
        </is>
      </c>
      <c r="N430" s="17" t="n">
        <v>1.439</v>
      </c>
      <c r="O430" s="17" t="n">
        <v>1.943</v>
      </c>
      <c r="P430" s="18" t="n">
        <v>4.2</v>
      </c>
    </row>
    <row r="431">
      <c r="B431" s="10" t="inlineStr">
        <is>
          <t>CHE</t>
        </is>
      </c>
      <c r="C431" s="10" t="inlineStr">
        <is>
          <t>VEH-CHE-014</t>
        </is>
      </c>
      <c r="D431" s="10" t="n">
        <v>21</v>
      </c>
      <c r="E431" s="10" t="inlineStr">
        <is>
          <t>ORD-CHE-001637</t>
        </is>
      </c>
      <c r="F431" s="10" t="inlineStr">
        <is>
          <t>ECOM_B2C</t>
        </is>
      </c>
      <c r="G431" s="10" t="inlineStr">
        <is>
          <t>Central Chennai</t>
        </is>
      </c>
      <c r="H431" s="10" t="n">
        <v>8.83</v>
      </c>
      <c r="I431" s="10" t="n">
        <v>840</v>
      </c>
      <c r="J431" s="10" t="n">
        <v>960</v>
      </c>
      <c r="K431" s="12" t="n">
        <v>911.3</v>
      </c>
      <c r="L431" s="12" t="n">
        <v>0</v>
      </c>
      <c r="M431" s="10" t="inlineStr">
        <is>
          <t>Yes</t>
        </is>
      </c>
      <c r="N431" s="11" t="n">
        <v>0</v>
      </c>
      <c r="O431" s="11" t="n">
        <v>0</v>
      </c>
      <c r="P431" s="12" t="n">
        <v>0</v>
      </c>
    </row>
    <row r="432">
      <c r="B432" s="16" t="inlineStr">
        <is>
          <t>CHE</t>
        </is>
      </c>
      <c r="C432" s="16" t="inlineStr">
        <is>
          <t>VEH-CHE-014</t>
        </is>
      </c>
      <c r="D432" s="16" t="n">
        <v>22</v>
      </c>
      <c r="E432" s="16" t="inlineStr">
        <is>
          <t>ORD-CHE-001672</t>
        </is>
      </c>
      <c r="F432" s="16" t="inlineStr">
        <is>
          <t>ECOM_B2C</t>
        </is>
      </c>
      <c r="G432" s="16" t="inlineStr">
        <is>
          <t>Central Chennai</t>
        </is>
      </c>
      <c r="H432" s="16" t="n">
        <v>2.21</v>
      </c>
      <c r="I432" s="16" t="n">
        <v>900</v>
      </c>
      <c r="J432" s="16" t="n">
        <v>1080</v>
      </c>
      <c r="K432" s="18" t="n">
        <v>915.3</v>
      </c>
      <c r="L432" s="18" t="n">
        <v>0</v>
      </c>
      <c r="M432" s="16" t="inlineStr">
        <is>
          <t>Yes</t>
        </is>
      </c>
      <c r="N432" s="17" t="n">
        <v>0</v>
      </c>
      <c r="O432" s="17" t="n">
        <v>0</v>
      </c>
      <c r="P432" s="18" t="n">
        <v>0</v>
      </c>
    </row>
    <row r="433">
      <c r="B433" s="10" t="inlineStr">
        <is>
          <t>CHE</t>
        </is>
      </c>
      <c r="C433" s="10" t="inlineStr">
        <is>
          <t>VEH-CHE-014</t>
        </is>
      </c>
      <c r="D433" s="10" t="n">
        <v>23</v>
      </c>
      <c r="E433" s="10" t="inlineStr">
        <is>
          <t>ORD-CHE-001711</t>
        </is>
      </c>
      <c r="F433" s="10" t="inlineStr">
        <is>
          <t>ECOM_B2C</t>
        </is>
      </c>
      <c r="G433" s="10" t="inlineStr">
        <is>
          <t>Central Chennai</t>
        </is>
      </c>
      <c r="H433" s="10" t="n">
        <v>0.59</v>
      </c>
      <c r="I433" s="10" t="n">
        <v>900</v>
      </c>
      <c r="J433" s="10" t="n">
        <v>1080</v>
      </c>
      <c r="K433" s="12" t="n">
        <v>922.6</v>
      </c>
      <c r="L433" s="12" t="n">
        <v>0</v>
      </c>
      <c r="M433" s="10" t="inlineStr">
        <is>
          <t>Yes</t>
        </is>
      </c>
      <c r="N433" s="11" t="n">
        <v>1.132</v>
      </c>
      <c r="O433" s="11" t="n">
        <v>1.528</v>
      </c>
      <c r="P433" s="12" t="n">
        <v>3.3</v>
      </c>
    </row>
    <row r="434">
      <c r="B434" s="16" t="inlineStr">
        <is>
          <t>CHE</t>
        </is>
      </c>
      <c r="C434" s="16" t="inlineStr">
        <is>
          <t>VEH-CHE-014</t>
        </is>
      </c>
      <c r="D434" s="16" t="n">
        <v>24</v>
      </c>
      <c r="E434" s="16" t="inlineStr">
        <is>
          <t>ORD-CHE-001731</t>
        </is>
      </c>
      <c r="F434" s="16" t="inlineStr">
        <is>
          <t>ECOM_B2C</t>
        </is>
      </c>
      <c r="G434" s="16" t="inlineStr">
        <is>
          <t>Central Chennai</t>
        </is>
      </c>
      <c r="H434" s="16" t="n">
        <v>3.68</v>
      </c>
      <c r="I434" s="16" t="n">
        <v>900</v>
      </c>
      <c r="J434" s="16" t="n">
        <v>1080</v>
      </c>
      <c r="K434" s="18" t="n">
        <v>930.5</v>
      </c>
      <c r="L434" s="18" t="n">
        <v>0</v>
      </c>
      <c r="M434" s="16" t="inlineStr">
        <is>
          <t>Yes</t>
        </is>
      </c>
      <c r="N434" s="17" t="n">
        <v>1.344</v>
      </c>
      <c r="O434" s="17" t="n">
        <v>1.815</v>
      </c>
      <c r="P434" s="18" t="n">
        <v>3.9</v>
      </c>
    </row>
    <row r="435">
      <c r="B435" s="10" t="inlineStr">
        <is>
          <t>CHE</t>
        </is>
      </c>
      <c r="C435" s="10" t="inlineStr">
        <is>
          <t>VEH-CHE-014</t>
        </is>
      </c>
      <c r="D435" s="10" t="n">
        <v>25</v>
      </c>
      <c r="E435" s="10" t="inlineStr">
        <is>
          <t>ORD-CHE-001663</t>
        </is>
      </c>
      <c r="F435" s="10" t="inlineStr">
        <is>
          <t>ECOM_B2C</t>
        </is>
      </c>
      <c r="G435" s="10" t="inlineStr">
        <is>
          <t>Central Chennai</t>
        </is>
      </c>
      <c r="H435" s="10" t="n">
        <v>14.89</v>
      </c>
      <c r="I435" s="10" t="n">
        <v>900</v>
      </c>
      <c r="J435" s="10" t="n">
        <v>1080</v>
      </c>
      <c r="K435" s="12" t="n">
        <v>935.6</v>
      </c>
      <c r="L435" s="12" t="n">
        <v>0</v>
      </c>
      <c r="M435" s="10" t="inlineStr">
        <is>
          <t>Yes</t>
        </is>
      </c>
      <c r="N435" s="11" t="n">
        <v>0.372</v>
      </c>
      <c r="O435" s="11" t="n">
        <v>0.502</v>
      </c>
      <c r="P435" s="12" t="n">
        <v>1.1</v>
      </c>
    </row>
    <row r="436">
      <c r="B436" s="16" t="inlineStr">
        <is>
          <t>CHE</t>
        </is>
      </c>
      <c r="C436" s="16" t="inlineStr">
        <is>
          <t>VEH-CHE-014</t>
        </is>
      </c>
      <c r="D436" s="16" t="n">
        <v>26</v>
      </c>
      <c r="E436" s="16" t="inlineStr">
        <is>
          <t>ORD-CHE-001708</t>
        </is>
      </c>
      <c r="F436" s="16" t="inlineStr">
        <is>
          <t>ECOM_B2C</t>
        </is>
      </c>
      <c r="G436" s="16" t="inlineStr">
        <is>
          <t>Central Chennai</t>
        </is>
      </c>
      <c r="H436" s="16" t="n">
        <v>4.81</v>
      </c>
      <c r="I436" s="16" t="n">
        <v>900</v>
      </c>
      <c r="J436" s="16" t="n">
        <v>1080</v>
      </c>
      <c r="K436" s="18" t="n">
        <v>941.6</v>
      </c>
      <c r="L436" s="18" t="n">
        <v>0</v>
      </c>
      <c r="M436" s="16" t="inlineStr">
        <is>
          <t>Yes</t>
        </is>
      </c>
      <c r="N436" s="17" t="n">
        <v>0.6879999999999999</v>
      </c>
      <c r="O436" s="17" t="n">
        <v>0.929</v>
      </c>
      <c r="P436" s="18" t="n">
        <v>2</v>
      </c>
    </row>
    <row r="437">
      <c r="B437" s="10" t="inlineStr">
        <is>
          <t>CHE</t>
        </is>
      </c>
      <c r="C437" s="10" t="inlineStr">
        <is>
          <t>VEH-CHE-014</t>
        </is>
      </c>
      <c r="D437" s="10" t="n">
        <v>27</v>
      </c>
      <c r="E437" s="10" t="inlineStr">
        <is>
          <t>ORD-CHE-001648</t>
        </is>
      </c>
      <c r="F437" s="10" t="inlineStr">
        <is>
          <t>ECOM_B2C</t>
        </is>
      </c>
      <c r="G437" s="10" t="inlineStr">
        <is>
          <t>West Chennai</t>
        </is>
      </c>
      <c r="H437" s="10" t="n">
        <v>3.08</v>
      </c>
      <c r="I437" s="10" t="n">
        <v>900</v>
      </c>
      <c r="J437" s="10" t="n">
        <v>1080</v>
      </c>
      <c r="K437" s="12" t="n">
        <v>953.5</v>
      </c>
      <c r="L437" s="12" t="n">
        <v>0</v>
      </c>
      <c r="M437" s="10" t="inlineStr">
        <is>
          <t>Yes</t>
        </is>
      </c>
      <c r="N437" s="11" t="n">
        <v>2.835</v>
      </c>
      <c r="O437" s="11" t="n">
        <v>3.827</v>
      </c>
      <c r="P437" s="12" t="n">
        <v>7.9</v>
      </c>
    </row>
    <row r="438">
      <c r="B438" s="16" t="inlineStr">
        <is>
          <t>CHE</t>
        </is>
      </c>
      <c r="C438" s="16" t="inlineStr">
        <is>
          <t>VEH-CHE-014</t>
        </is>
      </c>
      <c r="D438" s="16" t="n">
        <v>28</v>
      </c>
      <c r="E438" s="16" t="inlineStr">
        <is>
          <t>ORD-CHE-001660</t>
        </is>
      </c>
      <c r="F438" s="16" t="inlineStr">
        <is>
          <t>ECOM_B2C</t>
        </is>
      </c>
      <c r="G438" s="16" t="inlineStr">
        <is>
          <t>West Chennai</t>
        </is>
      </c>
      <c r="H438" s="16" t="n">
        <v>2.15</v>
      </c>
      <c r="I438" s="16" t="n">
        <v>900</v>
      </c>
      <c r="J438" s="16" t="n">
        <v>1080</v>
      </c>
      <c r="K438" s="18" t="n">
        <v>959.3</v>
      </c>
      <c r="L438" s="18" t="n">
        <v>0</v>
      </c>
      <c r="M438" s="16" t="inlineStr">
        <is>
          <t>Yes</t>
        </is>
      </c>
      <c r="N438" s="17" t="n">
        <v>0.641</v>
      </c>
      <c r="O438" s="17" t="n">
        <v>0.866</v>
      </c>
      <c r="P438" s="18" t="n">
        <v>1.8</v>
      </c>
    </row>
    <row r="439">
      <c r="B439" s="10" t="inlineStr">
        <is>
          <t>CHE</t>
        </is>
      </c>
      <c r="C439" s="10" t="inlineStr">
        <is>
          <t>VEH-CHE-014</t>
        </is>
      </c>
      <c r="D439" s="10" t="n">
        <v>29</v>
      </c>
      <c r="E439" s="10" t="inlineStr">
        <is>
          <t>ORD-CHE-001669</t>
        </is>
      </c>
      <c r="F439" s="10" t="inlineStr">
        <is>
          <t>ECOM_B2C</t>
        </is>
      </c>
      <c r="G439" s="10" t="inlineStr">
        <is>
          <t>Central Chennai</t>
        </is>
      </c>
      <c r="H439" s="10" t="n">
        <v>1.86</v>
      </c>
      <c r="I439" s="10" t="n">
        <v>900</v>
      </c>
      <c r="J439" s="10" t="n">
        <v>1080</v>
      </c>
      <c r="K439" s="12" t="n">
        <v>970.1</v>
      </c>
      <c r="L439" s="12" t="n">
        <v>0</v>
      </c>
      <c r="M439" s="10" t="inlineStr">
        <is>
          <t>Yes</t>
        </is>
      </c>
      <c r="N439" s="11" t="n">
        <v>2.353</v>
      </c>
      <c r="O439" s="11" t="n">
        <v>3.177</v>
      </c>
      <c r="P439" s="12" t="n">
        <v>6.8</v>
      </c>
    </row>
    <row r="440">
      <c r="B440" s="16" t="inlineStr">
        <is>
          <t>CHE</t>
        </is>
      </c>
      <c r="C440" s="16" t="inlineStr">
        <is>
          <t>VEH-CHE-014</t>
        </is>
      </c>
      <c r="D440" s="16" t="n">
        <v>30</v>
      </c>
      <c r="E440" s="16" t="inlineStr">
        <is>
          <t>ORD-CHE-001721</t>
        </is>
      </c>
      <c r="F440" s="16" t="inlineStr">
        <is>
          <t>ECOM_B2C</t>
        </is>
      </c>
      <c r="G440" s="16" t="inlineStr">
        <is>
          <t>Central Chennai</t>
        </is>
      </c>
      <c r="H440" s="16" t="n">
        <v>3.66</v>
      </c>
      <c r="I440" s="16" t="n">
        <v>900</v>
      </c>
      <c r="J440" s="16" t="n">
        <v>1080</v>
      </c>
      <c r="K440" s="18" t="n">
        <v>974.1</v>
      </c>
      <c r="L440" s="18" t="n">
        <v>0</v>
      </c>
      <c r="M440" s="16" t="inlineStr">
        <is>
          <t>Yes</t>
        </is>
      </c>
      <c r="N440" s="17" t="n">
        <v>0</v>
      </c>
      <c r="O440" s="17" t="n">
        <v>0</v>
      </c>
      <c r="P440" s="18" t="n">
        <v>0</v>
      </c>
    </row>
    <row r="441">
      <c r="B441" s="10" t="inlineStr">
        <is>
          <t>CHE</t>
        </is>
      </c>
      <c r="C441" s="10" t="inlineStr">
        <is>
          <t>VEH-CHE-014</t>
        </is>
      </c>
      <c r="D441" s="10" t="n">
        <v>31</v>
      </c>
      <c r="E441" s="10" t="inlineStr">
        <is>
          <t>ORD-CHE-001690</t>
        </is>
      </c>
      <c r="F441" s="10" t="inlineStr">
        <is>
          <t>ECOM_B2C</t>
        </is>
      </c>
      <c r="G441" s="10" t="inlineStr">
        <is>
          <t>South Chennai</t>
        </is>
      </c>
      <c r="H441" s="10" t="n">
        <v>9.81</v>
      </c>
      <c r="I441" s="10" t="n">
        <v>1080</v>
      </c>
      <c r="J441" s="10" t="n">
        <v>1200</v>
      </c>
      <c r="K441" s="12" t="n">
        <v>989.6</v>
      </c>
      <c r="L441" s="12" t="n">
        <v>0</v>
      </c>
      <c r="M441" s="10" t="inlineStr">
        <is>
          <t>Yes</t>
        </is>
      </c>
      <c r="N441" s="11" t="n">
        <v>4.117</v>
      </c>
      <c r="O441" s="11" t="n">
        <v>5.558</v>
      </c>
      <c r="P441" s="12" t="n">
        <v>11.5</v>
      </c>
    </row>
    <row r="442">
      <c r="B442" s="16" t="inlineStr">
        <is>
          <t>CHE</t>
        </is>
      </c>
      <c r="C442" s="16" t="inlineStr">
        <is>
          <t>VEH-CHE-014</t>
        </is>
      </c>
      <c r="D442" s="16" t="n">
        <v>32</v>
      </c>
      <c r="E442" s="16" t="inlineStr">
        <is>
          <t>ORD-CHE-001644</t>
        </is>
      </c>
      <c r="F442" s="16" t="inlineStr">
        <is>
          <t>ECOM_B2C</t>
        </is>
      </c>
      <c r="G442" s="16" t="inlineStr">
        <is>
          <t>South Chennai</t>
        </is>
      </c>
      <c r="H442" s="16" t="n">
        <v>1</v>
      </c>
      <c r="I442" s="16" t="n">
        <v>1080</v>
      </c>
      <c r="J442" s="16" t="n">
        <v>1260</v>
      </c>
      <c r="K442" s="18" t="n">
        <v>1090.1</v>
      </c>
      <c r="L442" s="18" t="n">
        <v>0</v>
      </c>
      <c r="M442" s="16" t="inlineStr">
        <is>
          <t>Yes</t>
        </is>
      </c>
      <c r="N442" s="17" t="n">
        <v>1.089</v>
      </c>
      <c r="O442" s="17" t="n">
        <v>1.471</v>
      </c>
      <c r="P442" s="18" t="n">
        <v>6.1</v>
      </c>
    </row>
    <row r="443">
      <c r="B443" s="10" t="inlineStr">
        <is>
          <t>CHE</t>
        </is>
      </c>
      <c r="C443" s="10" t="inlineStr">
        <is>
          <t>VEH-CHE-014</t>
        </is>
      </c>
      <c r="D443" s="10" t="n">
        <v>33</v>
      </c>
      <c r="E443" s="10" t="inlineStr">
        <is>
          <t>ORD-CHE-001715</t>
        </is>
      </c>
      <c r="F443" s="10" t="inlineStr">
        <is>
          <t>ECOM_B2C</t>
        </is>
      </c>
      <c r="G443" s="10" t="inlineStr">
        <is>
          <t>OMR Corridor</t>
        </is>
      </c>
      <c r="H443" s="10" t="n">
        <v>6.49</v>
      </c>
      <c r="I443" s="10" t="n">
        <v>1080</v>
      </c>
      <c r="J443" s="10" t="n">
        <v>1260</v>
      </c>
      <c r="K443" s="12" t="n">
        <v>1111.8</v>
      </c>
      <c r="L443" s="12" t="n">
        <v>0</v>
      </c>
      <c r="M443" s="10" t="inlineStr">
        <is>
          <t>Yes</t>
        </is>
      </c>
      <c r="N443" s="11" t="n">
        <v>3.264</v>
      </c>
      <c r="O443" s="11" t="n">
        <v>4.406</v>
      </c>
      <c r="P443" s="12" t="n">
        <v>17.7</v>
      </c>
    </row>
    <row r="444">
      <c r="B444" s="16" t="inlineStr">
        <is>
          <t>CHE</t>
        </is>
      </c>
      <c r="C444" s="16" t="inlineStr">
        <is>
          <t>VEH-CHE-014</t>
        </is>
      </c>
      <c r="D444" s="16" t="n">
        <v>34</v>
      </c>
      <c r="E444" s="16" t="inlineStr">
        <is>
          <t>ORD-CHE-001692</t>
        </is>
      </c>
      <c r="F444" s="16" t="inlineStr">
        <is>
          <t>ECOM_B2C</t>
        </is>
      </c>
      <c r="G444" s="16" t="inlineStr">
        <is>
          <t>South Chennai</t>
        </is>
      </c>
      <c r="H444" s="16" t="n">
        <v>1.13</v>
      </c>
      <c r="I444" s="16" t="n">
        <v>1080</v>
      </c>
      <c r="J444" s="16" t="n">
        <v>1260</v>
      </c>
      <c r="K444" s="18" t="n">
        <v>1132.2</v>
      </c>
      <c r="L444" s="18" t="n">
        <v>0</v>
      </c>
      <c r="M444" s="16" t="inlineStr">
        <is>
          <t>Yes</t>
        </is>
      </c>
      <c r="N444" s="17" t="n">
        <v>2.936</v>
      </c>
      <c r="O444" s="17" t="n">
        <v>3.964</v>
      </c>
      <c r="P444" s="18" t="n">
        <v>16.5</v>
      </c>
    </row>
    <row r="445">
      <c r="B445" s="10" t="inlineStr">
        <is>
          <t>CHE</t>
        </is>
      </c>
      <c r="C445" s="10" t="inlineStr">
        <is>
          <t>VEH-CHE-014</t>
        </is>
      </c>
      <c r="D445" s="10" t="n">
        <v>35</v>
      </c>
      <c r="E445" s="10" t="inlineStr">
        <is>
          <t>ORD-CHE-001722</t>
        </is>
      </c>
      <c r="F445" s="10" t="inlineStr">
        <is>
          <t>ECOM_B2C</t>
        </is>
      </c>
      <c r="G445" s="10" t="inlineStr">
        <is>
          <t>South Chennai</t>
        </is>
      </c>
      <c r="H445" s="10" t="n">
        <v>1.88</v>
      </c>
      <c r="I445" s="10" t="n">
        <v>1080</v>
      </c>
      <c r="J445" s="10" t="n">
        <v>1200</v>
      </c>
      <c r="K445" s="12" t="n">
        <v>1140.5</v>
      </c>
      <c r="L445" s="12" t="n">
        <v>0</v>
      </c>
      <c r="M445" s="10" t="inlineStr">
        <is>
          <t>Yes</t>
        </is>
      </c>
      <c r="N445" s="11" t="n">
        <v>0.775</v>
      </c>
      <c r="O445" s="11" t="n">
        <v>1.047</v>
      </c>
      <c r="P445" s="12" t="n">
        <v>4.3</v>
      </c>
    </row>
    <row r="446">
      <c r="B446" s="16" t="inlineStr">
        <is>
          <t>CHE</t>
        </is>
      </c>
      <c r="C446" s="16" t="inlineStr">
        <is>
          <t>VEH-CHE-014</t>
        </is>
      </c>
      <c r="D446" s="16" t="n">
        <v>36</v>
      </c>
      <c r="E446" s="16" t="inlineStr">
        <is>
          <t>ORD-CHE-001696</t>
        </is>
      </c>
      <c r="F446" s="16" t="inlineStr">
        <is>
          <t>ECOM_B2C</t>
        </is>
      </c>
      <c r="G446" s="16" t="inlineStr">
        <is>
          <t>South Chennai</t>
        </is>
      </c>
      <c r="H446" s="16" t="n">
        <v>5.06</v>
      </c>
      <c r="I446" s="16" t="n">
        <v>1080</v>
      </c>
      <c r="J446" s="16" t="n">
        <v>1260</v>
      </c>
      <c r="K446" s="18" t="n">
        <v>1144.5</v>
      </c>
      <c r="L446" s="18" t="n">
        <v>0</v>
      </c>
      <c r="M446" s="16" t="inlineStr">
        <is>
          <t>Yes</t>
        </is>
      </c>
      <c r="N446" s="17" t="n">
        <v>0</v>
      </c>
      <c r="O446" s="17" t="n">
        <v>0</v>
      </c>
      <c r="P446" s="18" t="n">
        <v>0</v>
      </c>
    </row>
    <row r="447">
      <c r="B447" s="10" t="inlineStr">
        <is>
          <t>CHE</t>
        </is>
      </c>
      <c r="C447" s="10" t="inlineStr">
        <is>
          <t>VEH-CHE-014</t>
        </is>
      </c>
      <c r="D447" s="10" t="n">
        <v>37</v>
      </c>
      <c r="E447" s="10" t="inlineStr">
        <is>
          <t>ORD-CHE-001628</t>
        </is>
      </c>
      <c r="F447" s="10" t="inlineStr">
        <is>
          <t>ECOM_B2C</t>
        </is>
      </c>
      <c r="G447" s="10" t="inlineStr">
        <is>
          <t>South Chennai</t>
        </is>
      </c>
      <c r="H447" s="10" t="n">
        <v>3.27</v>
      </c>
      <c r="I447" s="10" t="n">
        <v>1080</v>
      </c>
      <c r="J447" s="10" t="n">
        <v>1200</v>
      </c>
      <c r="K447" s="12" t="n">
        <v>1149.9</v>
      </c>
      <c r="L447" s="12" t="n">
        <v>0</v>
      </c>
      <c r="M447" s="10" t="inlineStr">
        <is>
          <t>Yes</t>
        </is>
      </c>
      <c r="N447" s="11" t="n">
        <v>0.239</v>
      </c>
      <c r="O447" s="11" t="n">
        <v>0.323</v>
      </c>
      <c r="P447" s="12" t="n">
        <v>1.3</v>
      </c>
    </row>
    <row r="448">
      <c r="B448" s="16" t="inlineStr">
        <is>
          <t>CHE</t>
        </is>
      </c>
      <c r="C448" s="16" t="inlineStr">
        <is>
          <t>VEH-CHE-014</t>
        </is>
      </c>
      <c r="D448" s="16" t="n">
        <v>38</v>
      </c>
      <c r="E448" s="16" t="inlineStr">
        <is>
          <t>ORD-CHE-001667</t>
        </is>
      </c>
      <c r="F448" s="16" t="inlineStr">
        <is>
          <t>ECOM_B2C</t>
        </is>
      </c>
      <c r="G448" s="16" t="inlineStr">
        <is>
          <t>South Chennai</t>
        </is>
      </c>
      <c r="H448" s="16" t="n">
        <v>8.970000000000001</v>
      </c>
      <c r="I448" s="16" t="n">
        <v>1080</v>
      </c>
      <c r="J448" s="16" t="n">
        <v>1260</v>
      </c>
      <c r="K448" s="18" t="n">
        <v>1153.9</v>
      </c>
      <c r="L448" s="18" t="n">
        <v>0</v>
      </c>
      <c r="M448" s="16" t="inlineStr">
        <is>
          <t>Yes</t>
        </is>
      </c>
      <c r="N448" s="17" t="n">
        <v>0</v>
      </c>
      <c r="O448" s="17" t="n">
        <v>0</v>
      </c>
      <c r="P448" s="18" t="n">
        <v>0</v>
      </c>
    </row>
    <row r="449">
      <c r="B449" s="10" t="inlineStr">
        <is>
          <t>CHE</t>
        </is>
      </c>
      <c r="C449" s="10" t="inlineStr">
        <is>
          <t>VEH-CHE-015</t>
        </is>
      </c>
      <c r="D449" s="10" t="n">
        <v>1</v>
      </c>
      <c r="E449" s="10" t="inlineStr">
        <is>
          <t>ORD-CHE-001633</t>
        </is>
      </c>
      <c r="F449" s="10" t="inlineStr">
        <is>
          <t>ECOM_B2C</t>
        </is>
      </c>
      <c r="G449" s="10" t="inlineStr">
        <is>
          <t>OMR Corridor</t>
        </is>
      </c>
      <c r="H449" s="10" t="n">
        <v>1.89</v>
      </c>
      <c r="I449" s="10" t="n">
        <v>840</v>
      </c>
      <c r="J449" s="10" t="n">
        <v>960</v>
      </c>
      <c r="K449" s="12" t="n">
        <v>840</v>
      </c>
      <c r="L449" s="12" t="n">
        <v>0</v>
      </c>
      <c r="M449" s="10" t="inlineStr">
        <is>
          <t>Yes</t>
        </is>
      </c>
      <c r="N449" s="11" t="n">
        <v>12.226</v>
      </c>
      <c r="O449" s="11" t="n">
        <v>16.505</v>
      </c>
      <c r="P449" s="12" t="n">
        <v>30.9</v>
      </c>
    </row>
    <row r="450">
      <c r="B450" s="16" t="inlineStr">
        <is>
          <t>CHE</t>
        </is>
      </c>
      <c r="C450" s="16" t="inlineStr">
        <is>
          <t>VEH-CHE-015</t>
        </is>
      </c>
      <c r="D450" s="16" t="n">
        <v>2</v>
      </c>
      <c r="E450" s="16" t="inlineStr">
        <is>
          <t>ORD-CHE-001673</t>
        </is>
      </c>
      <c r="F450" s="16" t="inlineStr">
        <is>
          <t>ECOM_B2C</t>
        </is>
      </c>
      <c r="G450" s="16" t="inlineStr">
        <is>
          <t>South Chennai</t>
        </is>
      </c>
      <c r="H450" s="16" t="n">
        <v>1.97</v>
      </c>
      <c r="I450" s="16" t="n">
        <v>720</v>
      </c>
      <c r="J450" s="16" t="n">
        <v>900</v>
      </c>
      <c r="K450" s="18" t="n">
        <v>872</v>
      </c>
      <c r="L450" s="18" t="n">
        <v>0</v>
      </c>
      <c r="M450" s="16" t="inlineStr">
        <is>
          <t>Yes</t>
        </is>
      </c>
      <c r="N450" s="17" t="n">
        <v>10.712</v>
      </c>
      <c r="O450" s="17" t="n">
        <v>14.461</v>
      </c>
      <c r="P450" s="18" t="n">
        <v>28</v>
      </c>
    </row>
    <row r="451">
      <c r="B451" s="10" t="inlineStr">
        <is>
          <t>CHE</t>
        </is>
      </c>
      <c r="C451" s="10" t="inlineStr">
        <is>
          <t>VEH-CHE-015</t>
        </is>
      </c>
      <c r="D451" s="10" t="n">
        <v>3</v>
      </c>
      <c r="E451" s="10" t="inlineStr">
        <is>
          <t>ORD-CHE-001630</t>
        </is>
      </c>
      <c r="F451" s="10" t="inlineStr">
        <is>
          <t>ECOM_B2C</t>
        </is>
      </c>
      <c r="G451" s="10" t="inlineStr">
        <is>
          <t>South Chennai</t>
        </is>
      </c>
      <c r="H451" s="10" t="n">
        <v>3.8</v>
      </c>
      <c r="I451" s="10" t="n">
        <v>840</v>
      </c>
      <c r="J451" s="10" t="n">
        <v>960</v>
      </c>
      <c r="K451" s="12" t="n">
        <v>877.1</v>
      </c>
      <c r="L451" s="12" t="n">
        <v>0</v>
      </c>
      <c r="M451" s="10" t="inlineStr">
        <is>
          <t>Yes</t>
        </is>
      </c>
      <c r="N451" s="11" t="n">
        <v>0.416</v>
      </c>
      <c r="O451" s="11" t="n">
        <v>0.5620000000000001</v>
      </c>
      <c r="P451" s="12" t="n">
        <v>1.1</v>
      </c>
    </row>
    <row r="452">
      <c r="B452" s="16" t="inlineStr">
        <is>
          <t>CHE</t>
        </is>
      </c>
      <c r="C452" s="16" t="inlineStr">
        <is>
          <t>VEH-CHE-015</t>
        </is>
      </c>
      <c r="D452" s="16" t="n">
        <v>4</v>
      </c>
      <c r="E452" s="16" t="inlineStr">
        <is>
          <t>ORD-CHE-001646</t>
        </is>
      </c>
      <c r="F452" s="16" t="inlineStr">
        <is>
          <t>ECOM_B2C</t>
        </is>
      </c>
      <c r="G452" s="16" t="inlineStr">
        <is>
          <t>South Chennai</t>
        </is>
      </c>
      <c r="H452" s="16" t="n">
        <v>1.51</v>
      </c>
      <c r="I452" s="16" t="n">
        <v>900</v>
      </c>
      <c r="J452" s="16" t="n">
        <v>1080</v>
      </c>
      <c r="K452" s="18" t="n">
        <v>893.1</v>
      </c>
      <c r="L452" s="18" t="n">
        <v>0</v>
      </c>
      <c r="M452" s="16" t="inlineStr">
        <is>
          <t>Yes</t>
        </is>
      </c>
      <c r="N452" s="17" t="n">
        <v>4.6</v>
      </c>
      <c r="O452" s="17" t="n">
        <v>6.21</v>
      </c>
      <c r="P452" s="18" t="n">
        <v>12</v>
      </c>
    </row>
    <row r="453">
      <c r="B453" s="10" t="inlineStr">
        <is>
          <t>CHE</t>
        </is>
      </c>
      <c r="C453" s="10" t="inlineStr">
        <is>
          <t>VEH-CHE-015</t>
        </is>
      </c>
      <c r="D453" s="10" t="n">
        <v>5</v>
      </c>
      <c r="E453" s="10" t="inlineStr">
        <is>
          <t>ORD-CHE-001658</t>
        </is>
      </c>
      <c r="F453" s="10" t="inlineStr">
        <is>
          <t>ECOM_B2C</t>
        </is>
      </c>
      <c r="G453" s="10" t="inlineStr">
        <is>
          <t>South Chennai</t>
        </is>
      </c>
      <c r="H453" s="10" t="n">
        <v>2.87</v>
      </c>
      <c r="I453" s="10" t="n">
        <v>900</v>
      </c>
      <c r="J453" s="10" t="n">
        <v>1080</v>
      </c>
      <c r="K453" s="12" t="n">
        <v>933.5</v>
      </c>
      <c r="L453" s="12" t="n">
        <v>0</v>
      </c>
      <c r="M453" s="10" t="inlineStr">
        <is>
          <t>Yes</t>
        </is>
      </c>
      <c r="N453" s="11" t="n">
        <v>11.275</v>
      </c>
      <c r="O453" s="11" t="n">
        <v>15.222</v>
      </c>
      <c r="P453" s="12" t="n">
        <v>29.5</v>
      </c>
    </row>
    <row r="454">
      <c r="B454" s="16" t="inlineStr">
        <is>
          <t>CHE</t>
        </is>
      </c>
      <c r="C454" s="16" t="inlineStr">
        <is>
          <t>VEH-CHE-015</t>
        </is>
      </c>
      <c r="D454" s="16" t="n">
        <v>6</v>
      </c>
      <c r="E454" s="16" t="inlineStr">
        <is>
          <t>ORD-CHE-001707</t>
        </is>
      </c>
      <c r="F454" s="16" t="inlineStr">
        <is>
          <t>ECOM_B2C</t>
        </is>
      </c>
      <c r="G454" s="16" t="inlineStr">
        <is>
          <t>OMR Corridor</t>
        </is>
      </c>
      <c r="H454" s="16" t="n">
        <v>1.29</v>
      </c>
      <c r="I454" s="16" t="n">
        <v>840</v>
      </c>
      <c r="J454" s="16" t="n">
        <v>960</v>
      </c>
      <c r="K454" s="18" t="n">
        <v>944.3</v>
      </c>
      <c r="L454" s="18" t="n">
        <v>0</v>
      </c>
      <c r="M454" s="16" t="inlineStr">
        <is>
          <t>Yes</t>
        </is>
      </c>
      <c r="N454" s="17" t="n">
        <v>2.696</v>
      </c>
      <c r="O454" s="17" t="n">
        <v>3.639</v>
      </c>
      <c r="P454" s="18" t="n">
        <v>6.8</v>
      </c>
    </row>
    <row r="455">
      <c r="B455" s="10" t="inlineStr">
        <is>
          <t>CHE</t>
        </is>
      </c>
      <c r="C455" s="10" t="inlineStr">
        <is>
          <t>VEH-CHE-015</t>
        </is>
      </c>
      <c r="D455" s="10" t="n">
        <v>7</v>
      </c>
      <c r="E455" s="10" t="inlineStr">
        <is>
          <t>ORD-CHE-001615</t>
        </is>
      </c>
      <c r="F455" s="10" t="inlineStr">
        <is>
          <t>ECOM_B2C</t>
        </is>
      </c>
      <c r="G455" s="10" t="inlineStr">
        <is>
          <t>OMR Corridor</t>
        </is>
      </c>
      <c r="H455" s="10" t="n">
        <v>1.13</v>
      </c>
      <c r="I455" s="10" t="n">
        <v>900</v>
      </c>
      <c r="J455" s="10" t="n">
        <v>1080</v>
      </c>
      <c r="K455" s="12" t="n">
        <v>949.9</v>
      </c>
      <c r="L455" s="12" t="n">
        <v>0</v>
      </c>
      <c r="M455" s="10" t="inlineStr">
        <is>
          <t>Yes</t>
        </is>
      </c>
      <c r="N455" s="11" t="n">
        <v>0.649</v>
      </c>
      <c r="O455" s="11" t="n">
        <v>0.876</v>
      </c>
      <c r="P455" s="12" t="n">
        <v>1.6</v>
      </c>
    </row>
    <row r="456">
      <c r="B456" s="16" t="inlineStr">
        <is>
          <t>CHE</t>
        </is>
      </c>
      <c r="C456" s="16" t="inlineStr">
        <is>
          <t>VEH-CHE-015</t>
        </is>
      </c>
      <c r="D456" s="16" t="n">
        <v>8</v>
      </c>
      <c r="E456" s="16" t="inlineStr">
        <is>
          <t>ORD-CHE-001702</t>
        </is>
      </c>
      <c r="F456" s="16" t="inlineStr">
        <is>
          <t>ECOM_B2C</t>
        </is>
      </c>
      <c r="G456" s="16" t="inlineStr">
        <is>
          <t>OMR Corridor</t>
        </is>
      </c>
      <c r="H456" s="16" t="n">
        <v>0.86</v>
      </c>
      <c r="I456" s="16" t="n">
        <v>900</v>
      </c>
      <c r="J456" s="16" t="n">
        <v>1080</v>
      </c>
      <c r="K456" s="18" t="n">
        <v>955.9</v>
      </c>
      <c r="L456" s="18" t="n">
        <v>0</v>
      </c>
      <c r="M456" s="16" t="inlineStr">
        <is>
          <t>Yes</t>
        </is>
      </c>
      <c r="N456" s="17" t="n">
        <v>0.794</v>
      </c>
      <c r="O456" s="17" t="n">
        <v>1.071</v>
      </c>
      <c r="P456" s="18" t="n">
        <v>2</v>
      </c>
    </row>
    <row r="457">
      <c r="B457" s="10" t="inlineStr">
        <is>
          <t>CHE</t>
        </is>
      </c>
      <c r="C457" s="10" t="inlineStr">
        <is>
          <t>VEH-CHE-015</t>
        </is>
      </c>
      <c r="D457" s="10" t="n">
        <v>9</v>
      </c>
      <c r="E457" s="10" t="inlineStr">
        <is>
          <t>ORD-CHE-001705</t>
        </is>
      </c>
      <c r="F457" s="10" t="inlineStr">
        <is>
          <t>ECOM_B2C</t>
        </is>
      </c>
      <c r="G457" s="10" t="inlineStr">
        <is>
          <t>OMR Corridor</t>
        </is>
      </c>
      <c r="H457" s="10" t="n">
        <v>1.62</v>
      </c>
      <c r="I457" s="10" t="n">
        <v>900</v>
      </c>
      <c r="J457" s="10" t="n">
        <v>1080</v>
      </c>
      <c r="K457" s="12" t="n">
        <v>959.9</v>
      </c>
      <c r="L457" s="12" t="n">
        <v>0</v>
      </c>
      <c r="M457" s="10" t="inlineStr">
        <is>
          <t>Yes</t>
        </is>
      </c>
      <c r="N457" s="11" t="n">
        <v>0</v>
      </c>
      <c r="O457" s="11" t="n">
        <v>0</v>
      </c>
      <c r="P457" s="12" t="n">
        <v>0</v>
      </c>
    </row>
    <row r="458">
      <c r="B458" s="16" t="inlineStr">
        <is>
          <t>CHE</t>
        </is>
      </c>
      <c r="C458" s="16" t="inlineStr">
        <is>
          <t>VEH-CHE-015</t>
        </is>
      </c>
      <c r="D458" s="16" t="n">
        <v>10</v>
      </c>
      <c r="E458" s="16" t="inlineStr">
        <is>
          <t>ORD-CHE-001622</t>
        </is>
      </c>
      <c r="F458" s="16" t="inlineStr">
        <is>
          <t>ECOM_B2C</t>
        </is>
      </c>
      <c r="G458" s="16" t="inlineStr">
        <is>
          <t>South Chennai</t>
        </is>
      </c>
      <c r="H458" s="16" t="n">
        <v>0.52</v>
      </c>
      <c r="I458" s="16" t="n">
        <v>900</v>
      </c>
      <c r="J458" s="16" t="n">
        <v>1080</v>
      </c>
      <c r="K458" s="18" t="n">
        <v>969.5</v>
      </c>
      <c r="L458" s="18" t="n">
        <v>0</v>
      </c>
      <c r="M458" s="16" t="inlineStr">
        <is>
          <t>Yes</t>
        </is>
      </c>
      <c r="N458" s="17" t="n">
        <v>2.125</v>
      </c>
      <c r="O458" s="17" t="n">
        <v>2.869</v>
      </c>
      <c r="P458" s="18" t="n">
        <v>5.6</v>
      </c>
    </row>
    <row r="459">
      <c r="B459" s="10" t="inlineStr">
        <is>
          <t>CHE</t>
        </is>
      </c>
      <c r="C459" s="10" t="inlineStr">
        <is>
          <t>VEH-CHE-015</t>
        </is>
      </c>
      <c r="D459" s="10" t="n">
        <v>11</v>
      </c>
      <c r="E459" s="10" t="inlineStr">
        <is>
          <t>ORD-CHE-001621</t>
        </is>
      </c>
      <c r="F459" s="10" t="inlineStr">
        <is>
          <t>ECOM_B2C</t>
        </is>
      </c>
      <c r="G459" s="10" t="inlineStr">
        <is>
          <t>Central Chennai</t>
        </is>
      </c>
      <c r="H459" s="10" t="n">
        <v>1.49</v>
      </c>
      <c r="I459" s="10" t="n">
        <v>900</v>
      </c>
      <c r="J459" s="10" t="n">
        <v>1080</v>
      </c>
      <c r="K459" s="12" t="n">
        <v>985.5</v>
      </c>
      <c r="L459" s="12" t="n">
        <v>0</v>
      </c>
      <c r="M459" s="10" t="inlineStr">
        <is>
          <t>Yes</t>
        </is>
      </c>
      <c r="N459" s="11" t="n">
        <v>4.454</v>
      </c>
      <c r="O459" s="11" t="n">
        <v>6.013</v>
      </c>
      <c r="P459" s="12" t="n">
        <v>12</v>
      </c>
    </row>
    <row r="460">
      <c r="B460" s="16" t="inlineStr">
        <is>
          <t>CHE</t>
        </is>
      </c>
      <c r="C460" s="16" t="inlineStr">
        <is>
          <t>VEH-CHE-015</t>
        </is>
      </c>
      <c r="D460" s="16" t="n">
        <v>12</v>
      </c>
      <c r="E460" s="16" t="inlineStr">
        <is>
          <t>ORD-CHE-001643</t>
        </is>
      </c>
      <c r="F460" s="16" t="inlineStr">
        <is>
          <t>ECOM_B2C</t>
        </is>
      </c>
      <c r="G460" s="16" t="inlineStr">
        <is>
          <t>Central Chennai</t>
        </is>
      </c>
      <c r="H460" s="16" t="n">
        <v>1.4</v>
      </c>
      <c r="I460" s="16" t="n">
        <v>900</v>
      </c>
      <c r="J460" s="16" t="n">
        <v>1080</v>
      </c>
      <c r="K460" s="18" t="n">
        <v>990.5</v>
      </c>
      <c r="L460" s="18" t="n">
        <v>0</v>
      </c>
      <c r="M460" s="16" t="inlineStr">
        <is>
          <t>Yes</t>
        </is>
      </c>
      <c r="N460" s="17" t="n">
        <v>0.355</v>
      </c>
      <c r="O460" s="17" t="n">
        <v>0.479</v>
      </c>
      <c r="P460" s="18" t="n">
        <v>1</v>
      </c>
    </row>
    <row r="461">
      <c r="B461" s="10" t="inlineStr">
        <is>
          <t>CHE</t>
        </is>
      </c>
      <c r="C461" s="10" t="inlineStr">
        <is>
          <t>VEH-CHE-015</t>
        </is>
      </c>
      <c r="D461" s="10" t="n">
        <v>13</v>
      </c>
      <c r="E461" s="10" t="inlineStr">
        <is>
          <t>ORD-CHE-001720</t>
        </is>
      </c>
      <c r="F461" s="10" t="inlineStr">
        <is>
          <t>ECOM_B2C</t>
        </is>
      </c>
      <c r="G461" s="10" t="inlineStr">
        <is>
          <t>Central Chennai</t>
        </is>
      </c>
      <c r="H461" s="10" t="n">
        <v>3.02</v>
      </c>
      <c r="I461" s="10" t="n">
        <v>900</v>
      </c>
      <c r="J461" s="10" t="n">
        <v>1080</v>
      </c>
      <c r="K461" s="12" t="n">
        <v>997.3</v>
      </c>
      <c r="L461" s="12" t="n">
        <v>0</v>
      </c>
      <c r="M461" s="10" t="inlineStr">
        <is>
          <t>Yes</t>
        </is>
      </c>
      <c r="N461" s="11" t="n">
        <v>1.026</v>
      </c>
      <c r="O461" s="11" t="n">
        <v>1.385</v>
      </c>
      <c r="P461" s="12" t="n">
        <v>2.8</v>
      </c>
    </row>
    <row r="462">
      <c r="B462" s="16" t="inlineStr">
        <is>
          <t>CHE</t>
        </is>
      </c>
      <c r="C462" s="16" t="inlineStr">
        <is>
          <t>VEH-CHE-015</t>
        </is>
      </c>
      <c r="D462" s="16" t="n">
        <v>14</v>
      </c>
      <c r="E462" s="16" t="inlineStr">
        <is>
          <t>ORD-CHE-001659</t>
        </is>
      </c>
      <c r="F462" s="16" t="inlineStr">
        <is>
          <t>ECOM_B2C</t>
        </is>
      </c>
      <c r="G462" s="16" t="inlineStr">
        <is>
          <t>Central Chennai</t>
        </is>
      </c>
      <c r="H462" s="16" t="n">
        <v>0.23</v>
      </c>
      <c r="I462" s="16" t="n">
        <v>1080</v>
      </c>
      <c r="J462" s="16" t="n">
        <v>1260</v>
      </c>
      <c r="K462" s="18" t="n">
        <v>1010.5</v>
      </c>
      <c r="L462" s="18" t="n">
        <v>0</v>
      </c>
      <c r="M462" s="16" t="inlineStr">
        <is>
          <t>Yes</t>
        </is>
      </c>
      <c r="N462" s="17" t="n">
        <v>3.412</v>
      </c>
      <c r="O462" s="17" t="n">
        <v>4.606</v>
      </c>
      <c r="P462" s="18" t="n">
        <v>9.199999999999999</v>
      </c>
    </row>
    <row r="463">
      <c r="B463" s="10" t="inlineStr">
        <is>
          <t>CHE</t>
        </is>
      </c>
      <c r="C463" s="10" t="inlineStr">
        <is>
          <t>VEH-CHE-015</t>
        </is>
      </c>
      <c r="D463" s="10" t="n">
        <v>15</v>
      </c>
      <c r="E463" s="10" t="inlineStr">
        <is>
          <t>ORD-CHE-001671</t>
        </is>
      </c>
      <c r="F463" s="10" t="inlineStr">
        <is>
          <t>ECOM_B2C</t>
        </is>
      </c>
      <c r="G463" s="10" t="inlineStr">
        <is>
          <t>Central Chennai</t>
        </is>
      </c>
      <c r="H463" s="10" t="n">
        <v>3.16</v>
      </c>
      <c r="I463" s="10" t="n">
        <v>1080</v>
      </c>
      <c r="J463" s="10" t="n">
        <v>1200</v>
      </c>
      <c r="K463" s="12" t="n">
        <v>1089.1</v>
      </c>
      <c r="L463" s="12" t="n">
        <v>0</v>
      </c>
      <c r="M463" s="10" t="inlineStr">
        <is>
          <t>Yes</t>
        </is>
      </c>
      <c r="N463" s="11" t="n">
        <v>0.9399999999999999</v>
      </c>
      <c r="O463" s="11" t="n">
        <v>1.269</v>
      </c>
      <c r="P463" s="12" t="n">
        <v>5.1</v>
      </c>
    </row>
    <row r="464">
      <c r="B464" s="16" t="inlineStr">
        <is>
          <t>CHE</t>
        </is>
      </c>
      <c r="C464" s="16" t="inlineStr">
        <is>
          <t>VEH-CHE-015</t>
        </is>
      </c>
      <c r="D464" s="16" t="n">
        <v>16</v>
      </c>
      <c r="E464" s="16" t="inlineStr">
        <is>
          <t>ORD-CHE-001611</t>
        </is>
      </c>
      <c r="F464" s="16" t="inlineStr">
        <is>
          <t>ECOM_B2C</t>
        </is>
      </c>
      <c r="G464" s="16" t="inlineStr">
        <is>
          <t>Central Chennai</t>
        </is>
      </c>
      <c r="H464" s="16" t="n">
        <v>0.71</v>
      </c>
      <c r="I464" s="16" t="n">
        <v>1080</v>
      </c>
      <c r="J464" s="16" t="n">
        <v>1260</v>
      </c>
      <c r="K464" s="18" t="n">
        <v>1105.7</v>
      </c>
      <c r="L464" s="18" t="n">
        <v>0</v>
      </c>
      <c r="M464" s="16" t="inlineStr">
        <is>
          <t>Yes</t>
        </is>
      </c>
      <c r="N464" s="17" t="n">
        <v>2.334</v>
      </c>
      <c r="O464" s="17" t="n">
        <v>3.151</v>
      </c>
      <c r="P464" s="18" t="n">
        <v>12.6</v>
      </c>
    </row>
    <row r="465">
      <c r="B465" s="10" t="inlineStr">
        <is>
          <t>CHE</t>
        </is>
      </c>
      <c r="C465" s="10" t="inlineStr">
        <is>
          <t>VEH-CHE-015</t>
        </is>
      </c>
      <c r="D465" s="10" t="n">
        <v>17</v>
      </c>
      <c r="E465" s="10" t="inlineStr">
        <is>
          <t>ORD-CHE-001680</t>
        </is>
      </c>
      <c r="F465" s="10" t="inlineStr">
        <is>
          <t>ECOM_B2C</t>
        </is>
      </c>
      <c r="G465" s="10" t="inlineStr">
        <is>
          <t>Central Chennai</t>
        </is>
      </c>
      <c r="H465" s="10" t="n">
        <v>3.11</v>
      </c>
      <c r="I465" s="10" t="n">
        <v>1080</v>
      </c>
      <c r="J465" s="10" t="n">
        <v>1260</v>
      </c>
      <c r="K465" s="12" t="n">
        <v>1121.4</v>
      </c>
      <c r="L465" s="12" t="n">
        <v>0</v>
      </c>
      <c r="M465" s="10" t="inlineStr">
        <is>
          <t>Yes</t>
        </is>
      </c>
      <c r="N465" s="11" t="n">
        <v>2.169</v>
      </c>
      <c r="O465" s="11" t="n">
        <v>2.929</v>
      </c>
      <c r="P465" s="12" t="n">
        <v>11.7</v>
      </c>
    </row>
    <row r="466">
      <c r="B466" s="16" t="inlineStr">
        <is>
          <t>CHE</t>
        </is>
      </c>
      <c r="C466" s="16" t="inlineStr">
        <is>
          <t>VEH-CHE-016</t>
        </is>
      </c>
      <c r="D466" s="16" t="n">
        <v>1</v>
      </c>
      <c r="E466" s="16" t="inlineStr">
        <is>
          <t>ORD-CHE-001670</t>
        </is>
      </c>
      <c r="F466" s="16" t="inlineStr">
        <is>
          <t>ECOM_B2C</t>
        </is>
      </c>
      <c r="G466" s="16" t="inlineStr">
        <is>
          <t>OMR Corridor</t>
        </is>
      </c>
      <c r="H466" s="16" t="n">
        <v>2.65</v>
      </c>
      <c r="I466" s="16" t="n">
        <v>900</v>
      </c>
      <c r="J466" s="16" t="n">
        <v>1080</v>
      </c>
      <c r="K466" s="18" t="n">
        <v>900</v>
      </c>
      <c r="L466" s="18" t="n">
        <v>0</v>
      </c>
      <c r="M466" s="16" t="inlineStr">
        <is>
          <t>Yes</t>
        </is>
      </c>
      <c r="N466" s="17" t="n">
        <v>7.731</v>
      </c>
      <c r="O466" s="17" t="n">
        <v>10.437</v>
      </c>
      <c r="P466" s="18" t="n">
        <v>19.5</v>
      </c>
    </row>
    <row r="467">
      <c r="B467" s="10" t="inlineStr">
        <is>
          <t>CHE</t>
        </is>
      </c>
      <c r="C467" s="10" t="inlineStr">
        <is>
          <t>VEH-CHE-016</t>
        </is>
      </c>
      <c r="D467" s="10" t="n">
        <v>2</v>
      </c>
      <c r="E467" s="10" t="inlineStr">
        <is>
          <t>ORD-CHE-001636</t>
        </is>
      </c>
      <c r="F467" s="10" t="inlineStr">
        <is>
          <t>ECOM_B2C</t>
        </is>
      </c>
      <c r="G467" s="10" t="inlineStr">
        <is>
          <t>OMR Corridor</t>
        </is>
      </c>
      <c r="H467" s="10" t="n">
        <v>7.8</v>
      </c>
      <c r="I467" s="10" t="n">
        <v>900</v>
      </c>
      <c r="J467" s="10" t="n">
        <v>1080</v>
      </c>
      <c r="K467" s="12" t="n">
        <v>906.7</v>
      </c>
      <c r="L467" s="12" t="n">
        <v>0</v>
      </c>
      <c r="M467" s="10" t="inlineStr">
        <is>
          <t>Yes</t>
        </is>
      </c>
      <c r="N467" s="11" t="n">
        <v>1.05</v>
      </c>
      <c r="O467" s="11" t="n">
        <v>1.418</v>
      </c>
      <c r="P467" s="12" t="n">
        <v>2.7</v>
      </c>
    </row>
    <row r="468">
      <c r="B468" s="16" t="inlineStr">
        <is>
          <t>CHE</t>
        </is>
      </c>
      <c r="C468" s="16" t="inlineStr">
        <is>
          <t>VEH-CHE-016</t>
        </is>
      </c>
      <c r="D468" s="16" t="n">
        <v>3</v>
      </c>
      <c r="E468" s="16" t="inlineStr">
        <is>
          <t>ORD-CHE-001618</t>
        </is>
      </c>
      <c r="F468" s="16" t="inlineStr">
        <is>
          <t>ECOM_B2C</t>
        </is>
      </c>
      <c r="G468" s="16" t="inlineStr">
        <is>
          <t>OMR Corridor</t>
        </is>
      </c>
      <c r="H468" s="16" t="n">
        <v>1.15</v>
      </c>
      <c r="I468" s="16" t="n">
        <v>900</v>
      </c>
      <c r="J468" s="16" t="n">
        <v>1080</v>
      </c>
      <c r="K468" s="18" t="n">
        <v>922.8</v>
      </c>
      <c r="L468" s="18" t="n">
        <v>0</v>
      </c>
      <c r="M468" s="16" t="inlineStr">
        <is>
          <t>Yes</t>
        </is>
      </c>
      <c r="N468" s="17" t="n">
        <v>4.825</v>
      </c>
      <c r="O468" s="17" t="n">
        <v>6.514</v>
      </c>
      <c r="P468" s="18" t="n">
        <v>12.2</v>
      </c>
    </row>
    <row r="469">
      <c r="B469" s="10" t="inlineStr">
        <is>
          <t>CHE</t>
        </is>
      </c>
      <c r="C469" s="10" t="inlineStr">
        <is>
          <t>VEH-CHE-016</t>
        </is>
      </c>
      <c r="D469" s="10" t="n">
        <v>4</v>
      </c>
      <c r="E469" s="10" t="inlineStr">
        <is>
          <t>ORD-CHE-001649</t>
        </is>
      </c>
      <c r="F469" s="10" t="inlineStr">
        <is>
          <t>ECOM_B2C</t>
        </is>
      </c>
      <c r="G469" s="10" t="inlineStr">
        <is>
          <t>OMR Corridor</t>
        </is>
      </c>
      <c r="H469" s="10" t="n">
        <v>3.75</v>
      </c>
      <c r="I469" s="10" t="n">
        <v>900</v>
      </c>
      <c r="J469" s="10" t="n">
        <v>1080</v>
      </c>
      <c r="K469" s="12" t="n">
        <v>942.5</v>
      </c>
      <c r="L469" s="12" t="n">
        <v>0</v>
      </c>
      <c r="M469" s="10" t="inlineStr">
        <is>
          <t>Yes</t>
        </is>
      </c>
      <c r="N469" s="11" t="n">
        <v>6.201</v>
      </c>
      <c r="O469" s="11" t="n">
        <v>8.371</v>
      </c>
      <c r="P469" s="12" t="n">
        <v>15.6</v>
      </c>
    </row>
    <row r="470">
      <c r="B470" s="16" t="inlineStr">
        <is>
          <t>CHE</t>
        </is>
      </c>
      <c r="C470" s="16" t="inlineStr">
        <is>
          <t>VEH-CHE-016</t>
        </is>
      </c>
      <c r="D470" s="16" t="n">
        <v>5</v>
      </c>
      <c r="E470" s="16" t="inlineStr">
        <is>
          <t>ORD-CHE-001712</t>
        </is>
      </c>
      <c r="F470" s="16" t="inlineStr">
        <is>
          <t>ECOM_B2C</t>
        </is>
      </c>
      <c r="G470" s="16" t="inlineStr">
        <is>
          <t>OMR Corridor</t>
        </is>
      </c>
      <c r="H470" s="16" t="n">
        <v>1.68</v>
      </c>
      <c r="I470" s="16" t="n">
        <v>900</v>
      </c>
      <c r="J470" s="16" t="n">
        <v>1080</v>
      </c>
      <c r="K470" s="18" t="n">
        <v>961.3</v>
      </c>
      <c r="L470" s="18" t="n">
        <v>0</v>
      </c>
      <c r="M470" s="16" t="inlineStr">
        <is>
          <t>Yes</t>
        </is>
      </c>
      <c r="N470" s="17" t="n">
        <v>5.876</v>
      </c>
      <c r="O470" s="17" t="n">
        <v>7.933</v>
      </c>
      <c r="P470" s="18" t="n">
        <v>14.8</v>
      </c>
    </row>
    <row r="471">
      <c r="B471" s="10" t="inlineStr">
        <is>
          <t>CHE</t>
        </is>
      </c>
      <c r="C471" s="10" t="inlineStr">
        <is>
          <t>VEH-CHE-016</t>
        </is>
      </c>
      <c r="D471" s="10" t="n">
        <v>6</v>
      </c>
      <c r="E471" s="10" t="inlineStr">
        <is>
          <t>ORD-CHE-001651</t>
        </is>
      </c>
      <c r="F471" s="10" t="inlineStr">
        <is>
          <t>ECOM_B2C</t>
        </is>
      </c>
      <c r="G471" s="10" t="inlineStr">
        <is>
          <t>OMR Corridor</t>
        </is>
      </c>
      <c r="H471" s="10" t="n">
        <v>1.61</v>
      </c>
      <c r="I471" s="10" t="n">
        <v>1080</v>
      </c>
      <c r="J471" s="10" t="n">
        <v>1200</v>
      </c>
      <c r="K471" s="12" t="n">
        <v>966.6</v>
      </c>
      <c r="L471" s="12" t="n">
        <v>0</v>
      </c>
      <c r="M471" s="10" t="inlineStr">
        <is>
          <t>Yes</t>
        </is>
      </c>
      <c r="N471" s="11" t="n">
        <v>0.521</v>
      </c>
      <c r="O471" s="11" t="n">
        <v>0.703</v>
      </c>
      <c r="P471" s="12" t="n">
        <v>1.3</v>
      </c>
    </row>
    <row r="472">
      <c r="B472" s="16" t="inlineStr">
        <is>
          <t>CHE</t>
        </is>
      </c>
      <c r="C472" s="16" t="inlineStr">
        <is>
          <t>VEH-CHE-016</t>
        </is>
      </c>
      <c r="D472" s="16" t="n">
        <v>7</v>
      </c>
      <c r="E472" s="16" t="inlineStr">
        <is>
          <t>ORD-CHE-001725</t>
        </is>
      </c>
      <c r="F472" s="16" t="inlineStr">
        <is>
          <t>ECOM_B2C</t>
        </is>
      </c>
      <c r="G472" s="16" t="inlineStr">
        <is>
          <t>South Chennai</t>
        </is>
      </c>
      <c r="H472" s="16" t="n">
        <v>0.7</v>
      </c>
      <c r="I472" s="16" t="n">
        <v>1080</v>
      </c>
      <c r="J472" s="16" t="n">
        <v>1260</v>
      </c>
      <c r="K472" s="18" t="n">
        <v>1140.6</v>
      </c>
      <c r="L472" s="18" t="n">
        <v>0</v>
      </c>
      <c r="M472" s="16" t="inlineStr">
        <is>
          <t>Yes</t>
        </is>
      </c>
      <c r="N472" s="17" t="n">
        <v>10.831</v>
      </c>
      <c r="O472" s="17" t="n">
        <v>14.622</v>
      </c>
      <c r="P472" s="18" t="n">
        <v>56.6</v>
      </c>
    </row>
    <row r="473">
      <c r="B473" s="10" t="inlineStr">
        <is>
          <t>CHE</t>
        </is>
      </c>
      <c r="C473" s="10" t="inlineStr">
        <is>
          <t>VEH-CHE-016</t>
        </is>
      </c>
      <c r="D473" s="10" t="n">
        <v>8</v>
      </c>
      <c r="E473" s="10" t="inlineStr">
        <is>
          <t>ORD-CHE-001700</t>
        </is>
      </c>
      <c r="F473" s="10" t="inlineStr">
        <is>
          <t>ECOM_B2C</t>
        </is>
      </c>
      <c r="G473" s="10" t="inlineStr">
        <is>
          <t>South Chennai</t>
        </is>
      </c>
      <c r="H473" s="10" t="n">
        <v>1.77</v>
      </c>
      <c r="I473" s="10" t="n">
        <v>1080</v>
      </c>
      <c r="J473" s="10" t="n">
        <v>1260</v>
      </c>
      <c r="K473" s="12" t="n">
        <v>1153.5</v>
      </c>
      <c r="L473" s="12" t="n">
        <v>0</v>
      </c>
      <c r="M473" s="10" t="inlineStr">
        <is>
          <t>Yes</t>
        </is>
      </c>
      <c r="N473" s="11" t="n">
        <v>1.699</v>
      </c>
      <c r="O473" s="11" t="n">
        <v>2.294</v>
      </c>
      <c r="P473" s="12" t="n">
        <v>8.9</v>
      </c>
    </row>
    <row r="474">
      <c r="B474" s="16" t="inlineStr">
        <is>
          <t>CHE</t>
        </is>
      </c>
      <c r="C474" s="16" t="inlineStr">
        <is>
          <t>VEH-CHE-016</t>
        </is>
      </c>
      <c r="D474" s="16" t="n">
        <v>9</v>
      </c>
      <c r="E474" s="16" t="inlineStr">
        <is>
          <t>ORD-CHE-001697</t>
        </is>
      </c>
      <c r="F474" s="16" t="inlineStr">
        <is>
          <t>ECOM_B2C</t>
        </is>
      </c>
      <c r="G474" s="16" t="inlineStr">
        <is>
          <t>South Chennai</t>
        </is>
      </c>
      <c r="H474" s="16" t="n">
        <v>0.98</v>
      </c>
      <c r="I474" s="16" t="n">
        <v>1080</v>
      </c>
      <c r="J474" s="16" t="n">
        <v>1260</v>
      </c>
      <c r="K474" s="18" t="n">
        <v>1159.3</v>
      </c>
      <c r="L474" s="18" t="n">
        <v>0</v>
      </c>
      <c r="M474" s="16" t="inlineStr">
        <is>
          <t>Yes</t>
        </is>
      </c>
      <c r="N474" s="17" t="n">
        <v>0.338</v>
      </c>
      <c r="O474" s="17" t="n">
        <v>0.456</v>
      </c>
      <c r="P474" s="18" t="n">
        <v>1.8</v>
      </c>
    </row>
    <row r="475">
      <c r="B475" s="10" t="inlineStr">
        <is>
          <t>CHE</t>
        </is>
      </c>
      <c r="C475" s="10" t="inlineStr">
        <is>
          <t>VEH-CHE-016</t>
        </is>
      </c>
      <c r="D475" s="10" t="n">
        <v>10</v>
      </c>
      <c r="E475" s="10" t="inlineStr">
        <is>
          <t>ORD-CHE-001617</t>
        </is>
      </c>
      <c r="F475" s="10" t="inlineStr">
        <is>
          <t>ECOM_B2C</t>
        </is>
      </c>
      <c r="G475" s="10" t="inlineStr">
        <is>
          <t>West Chennai</t>
        </is>
      </c>
      <c r="H475" s="10" t="n">
        <v>5.34</v>
      </c>
      <c r="I475" s="10" t="n">
        <v>1080</v>
      </c>
      <c r="J475" s="10" t="n">
        <v>1260</v>
      </c>
      <c r="K475" s="12" t="n">
        <v>1228.4</v>
      </c>
      <c r="L475" s="12" t="n">
        <v>0</v>
      </c>
      <c r="M475" s="10" t="inlineStr">
        <is>
          <t>Yes</t>
        </is>
      </c>
      <c r="N475" s="11" t="n">
        <v>12.492</v>
      </c>
      <c r="O475" s="11" t="n">
        <v>16.864</v>
      </c>
      <c r="P475" s="12" t="n">
        <v>65.09999999999999</v>
      </c>
    </row>
    <row r="476">
      <c r="B476" s="16" t="inlineStr">
        <is>
          <t>CHE</t>
        </is>
      </c>
      <c r="C476" s="16" t="inlineStr">
        <is>
          <t>VEH-CHE-016</t>
        </is>
      </c>
      <c r="D476" s="16" t="n">
        <v>11</v>
      </c>
      <c r="E476" s="16" t="inlineStr">
        <is>
          <t>ORD-CHE-001713</t>
        </is>
      </c>
      <c r="F476" s="16" t="inlineStr">
        <is>
          <t>ECOM_B2C</t>
        </is>
      </c>
      <c r="G476" s="16" t="inlineStr">
        <is>
          <t>West Chennai</t>
        </is>
      </c>
      <c r="H476" s="16" t="n">
        <v>1.26</v>
      </c>
      <c r="I476" s="16" t="n">
        <v>1080</v>
      </c>
      <c r="J476" s="16" t="n">
        <v>1260</v>
      </c>
      <c r="K476" s="18" t="n">
        <v>1237.1</v>
      </c>
      <c r="L476" s="18" t="n">
        <v>0</v>
      </c>
      <c r="M476" s="16" t="inlineStr">
        <is>
          <t>Yes</t>
        </is>
      </c>
      <c r="N476" s="17" t="n">
        <v>0.909</v>
      </c>
      <c r="O476" s="17" t="n">
        <v>1.227</v>
      </c>
      <c r="P476" s="18" t="n">
        <v>4.7</v>
      </c>
    </row>
    <row r="477">
      <c r="B477" s="10" t="inlineStr">
        <is>
          <t>CHE</t>
        </is>
      </c>
      <c r="C477" s="10" t="inlineStr">
        <is>
          <t>VEH-CHE-017</t>
        </is>
      </c>
      <c r="D477" s="10" t="n">
        <v>1</v>
      </c>
      <c r="E477" s="10" t="inlineStr">
        <is>
          <t>ORD-CHE-001641</t>
        </is>
      </c>
      <c r="F477" s="10" t="inlineStr">
        <is>
          <t>ECOM_B2C</t>
        </is>
      </c>
      <c r="G477" s="10" t="inlineStr">
        <is>
          <t>West Chennai</t>
        </is>
      </c>
      <c r="H477" s="10" t="n">
        <v>2.32</v>
      </c>
      <c r="I477" s="10" t="n">
        <v>540</v>
      </c>
      <c r="J477" s="10" t="n">
        <v>720</v>
      </c>
      <c r="K477" s="12" t="n">
        <v>540</v>
      </c>
      <c r="L477" s="12" t="n">
        <v>0</v>
      </c>
      <c r="M477" s="10" t="inlineStr">
        <is>
          <t>Yes</t>
        </is>
      </c>
      <c r="N477" s="11" t="n">
        <v>6.384</v>
      </c>
      <c r="O477" s="11" t="n">
        <v>8.619</v>
      </c>
      <c r="P477" s="12" t="n">
        <v>27.2</v>
      </c>
    </row>
    <row r="478">
      <c r="B478" s="16" t="inlineStr">
        <is>
          <t>CHE</t>
        </is>
      </c>
      <c r="C478" s="16" t="inlineStr">
        <is>
          <t>VEH-CHE-017</t>
        </is>
      </c>
      <c r="D478" s="16" t="n">
        <v>2</v>
      </c>
      <c r="E478" s="16" t="inlineStr">
        <is>
          <t>ORD-CHE-001718</t>
        </is>
      </c>
      <c r="F478" s="16" t="inlineStr">
        <is>
          <t>ECOM_B2C</t>
        </is>
      </c>
      <c r="G478" s="16" t="inlineStr">
        <is>
          <t>West Chennai</t>
        </is>
      </c>
      <c r="H478" s="16" t="n">
        <v>1.72</v>
      </c>
      <c r="I478" s="16" t="n">
        <v>540</v>
      </c>
      <c r="J478" s="16" t="n">
        <v>720</v>
      </c>
      <c r="K478" s="18" t="n">
        <v>549</v>
      </c>
      <c r="L478" s="18" t="n">
        <v>0</v>
      </c>
      <c r="M478" s="16" t="inlineStr">
        <is>
          <t>Yes</t>
        </is>
      </c>
      <c r="N478" s="17" t="n">
        <v>1.175</v>
      </c>
      <c r="O478" s="17" t="n">
        <v>1.586</v>
      </c>
      <c r="P478" s="18" t="n">
        <v>5</v>
      </c>
    </row>
    <row r="479">
      <c r="B479" s="10" t="inlineStr">
        <is>
          <t>CHE</t>
        </is>
      </c>
      <c r="C479" s="10" t="inlineStr">
        <is>
          <t>VEH-CHE-017</t>
        </is>
      </c>
      <c r="D479" s="10" t="n">
        <v>3</v>
      </c>
      <c r="E479" s="10" t="inlineStr">
        <is>
          <t>ORD-CHE-001687</t>
        </is>
      </c>
      <c r="F479" s="10" t="inlineStr">
        <is>
          <t>ECOM_B2C</t>
        </is>
      </c>
      <c r="G479" s="10" t="inlineStr">
        <is>
          <t>South Chennai</t>
        </is>
      </c>
      <c r="H479" s="10" t="n">
        <v>1.83</v>
      </c>
      <c r="I479" s="10" t="n">
        <v>600</v>
      </c>
      <c r="J479" s="10" t="n">
        <v>720</v>
      </c>
      <c r="K479" s="12" t="n">
        <v>590.4</v>
      </c>
      <c r="L479" s="12" t="n">
        <v>0</v>
      </c>
      <c r="M479" s="10" t="inlineStr">
        <is>
          <t>Yes</t>
        </is>
      </c>
      <c r="N479" s="11" t="n">
        <v>8.749000000000001</v>
      </c>
      <c r="O479" s="11" t="n">
        <v>11.811</v>
      </c>
      <c r="P479" s="12" t="n">
        <v>37.4</v>
      </c>
    </row>
    <row r="480">
      <c r="B480" s="16" t="inlineStr">
        <is>
          <t>CHE</t>
        </is>
      </c>
      <c r="C480" s="16" t="inlineStr">
        <is>
          <t>VEH-CHE-017</t>
        </is>
      </c>
      <c r="D480" s="16" t="n">
        <v>4</v>
      </c>
      <c r="E480" s="16" t="inlineStr">
        <is>
          <t>ORD-CHE-001642</t>
        </is>
      </c>
      <c r="F480" s="16" t="inlineStr">
        <is>
          <t>ECOM_B2C</t>
        </is>
      </c>
      <c r="G480" s="16" t="inlineStr">
        <is>
          <t>OMR Corridor</t>
        </is>
      </c>
      <c r="H480" s="16" t="n">
        <v>2.73</v>
      </c>
      <c r="I480" s="16" t="n">
        <v>600</v>
      </c>
      <c r="J480" s="16" t="n">
        <v>720</v>
      </c>
      <c r="K480" s="18" t="n">
        <v>627.1</v>
      </c>
      <c r="L480" s="18" t="n">
        <v>0</v>
      </c>
      <c r="M480" s="16" t="inlineStr">
        <is>
          <t>Yes</t>
        </is>
      </c>
      <c r="N480" s="17" t="n">
        <v>5.582</v>
      </c>
      <c r="O480" s="17" t="n">
        <v>7.536</v>
      </c>
      <c r="P480" s="18" t="n">
        <v>23.1</v>
      </c>
    </row>
    <row r="481">
      <c r="B481" s="10" t="inlineStr">
        <is>
          <t>CHE</t>
        </is>
      </c>
      <c r="C481" s="10" t="inlineStr">
        <is>
          <t>VEH-CHE-017</t>
        </is>
      </c>
      <c r="D481" s="10" t="n">
        <v>5</v>
      </c>
      <c r="E481" s="10" t="inlineStr">
        <is>
          <t>ORD-CHE-001706</t>
        </is>
      </c>
      <c r="F481" s="10" t="inlineStr">
        <is>
          <t>ECOM_B2C</t>
        </is>
      </c>
      <c r="G481" s="10" t="inlineStr">
        <is>
          <t>OMR Corridor</t>
        </is>
      </c>
      <c r="H481" s="10" t="n">
        <v>1.53</v>
      </c>
      <c r="I481" s="10" t="n">
        <v>540</v>
      </c>
      <c r="J481" s="10" t="n">
        <v>720</v>
      </c>
      <c r="K481" s="12" t="n">
        <v>633.6</v>
      </c>
      <c r="L481" s="12" t="n">
        <v>0</v>
      </c>
      <c r="M481" s="10" t="inlineStr">
        <is>
          <t>Yes</t>
        </is>
      </c>
      <c r="N481" s="11" t="n">
        <v>0.621</v>
      </c>
      <c r="O481" s="11" t="n">
        <v>0.839</v>
      </c>
      <c r="P481" s="12" t="n">
        <v>2.6</v>
      </c>
    </row>
    <row r="482">
      <c r="B482" s="16" t="inlineStr">
        <is>
          <t>CHE</t>
        </is>
      </c>
      <c r="C482" s="16" t="inlineStr">
        <is>
          <t>VEH-CHE-017</t>
        </is>
      </c>
      <c r="D482" s="16" t="n">
        <v>6</v>
      </c>
      <c r="E482" s="16" t="inlineStr">
        <is>
          <t>ORD-CHE-001714</t>
        </is>
      </c>
      <c r="F482" s="16" t="inlineStr">
        <is>
          <t>ECOM_B2C</t>
        </is>
      </c>
      <c r="G482" s="16" t="inlineStr">
        <is>
          <t>OMR Corridor</t>
        </is>
      </c>
      <c r="H482" s="16" t="n">
        <v>3.8</v>
      </c>
      <c r="I482" s="16" t="n">
        <v>600</v>
      </c>
      <c r="J482" s="16" t="n">
        <v>720</v>
      </c>
      <c r="K482" s="18" t="n">
        <v>640.2</v>
      </c>
      <c r="L482" s="18" t="n">
        <v>0</v>
      </c>
      <c r="M482" s="16" t="inlineStr">
        <is>
          <t>Yes</t>
        </is>
      </c>
      <c r="N482" s="17" t="n">
        <v>0.621</v>
      </c>
      <c r="O482" s="17" t="n">
        <v>0.839</v>
      </c>
      <c r="P482" s="18" t="n">
        <v>2.6</v>
      </c>
    </row>
    <row r="483">
      <c r="B483" s="10" t="inlineStr">
        <is>
          <t>CHE</t>
        </is>
      </c>
      <c r="C483" s="10" t="inlineStr">
        <is>
          <t>VEH-CHE-017</t>
        </is>
      </c>
      <c r="D483" s="10" t="n">
        <v>7</v>
      </c>
      <c r="E483" s="10" t="inlineStr">
        <is>
          <t>ORD-CHE-001719</t>
        </is>
      </c>
      <c r="F483" s="10" t="inlineStr">
        <is>
          <t>ECOM_B2C</t>
        </is>
      </c>
      <c r="G483" s="10" t="inlineStr">
        <is>
          <t>OMR Corridor</t>
        </is>
      </c>
      <c r="H483" s="10" t="n">
        <v>0.96</v>
      </c>
      <c r="I483" s="10" t="n">
        <v>600</v>
      </c>
      <c r="J483" s="10" t="n">
        <v>720</v>
      </c>
      <c r="K483" s="12" t="n">
        <v>656.4</v>
      </c>
      <c r="L483" s="12" t="n">
        <v>0</v>
      </c>
      <c r="M483" s="10" t="inlineStr">
        <is>
          <t>Yes</t>
        </is>
      </c>
      <c r="N483" s="11" t="n">
        <v>2.958</v>
      </c>
      <c r="O483" s="11" t="n">
        <v>3.993</v>
      </c>
      <c r="P483" s="12" t="n">
        <v>12.2</v>
      </c>
    </row>
    <row r="484">
      <c r="B484" s="16" t="inlineStr">
        <is>
          <t>CHE</t>
        </is>
      </c>
      <c r="C484" s="16" t="inlineStr">
        <is>
          <t>VEH-CHE-017</t>
        </is>
      </c>
      <c r="D484" s="16" t="n">
        <v>8</v>
      </c>
      <c r="E484" s="16" t="inlineStr">
        <is>
          <t>ORD-CHE-001640</t>
        </is>
      </c>
      <c r="F484" s="16" t="inlineStr">
        <is>
          <t>ECOM_B2C</t>
        </is>
      </c>
      <c r="G484" s="16" t="inlineStr">
        <is>
          <t>OMR Corridor</t>
        </is>
      </c>
      <c r="H484" s="16" t="n">
        <v>0.95</v>
      </c>
      <c r="I484" s="16" t="n">
        <v>600</v>
      </c>
      <c r="J484" s="16" t="n">
        <v>720</v>
      </c>
      <c r="K484" s="18" t="n">
        <v>661.7</v>
      </c>
      <c r="L484" s="18" t="n">
        <v>0</v>
      </c>
      <c r="M484" s="16" t="inlineStr">
        <is>
          <t>Yes</t>
        </is>
      </c>
      <c r="N484" s="17" t="n">
        <v>0.509</v>
      </c>
      <c r="O484" s="17" t="n">
        <v>0.6870000000000001</v>
      </c>
      <c r="P484" s="18" t="n">
        <v>1.3</v>
      </c>
    </row>
    <row r="485">
      <c r="B485" s="10" t="inlineStr">
        <is>
          <t>CHE</t>
        </is>
      </c>
      <c r="C485" s="10" t="inlineStr">
        <is>
          <t>VEH-CHE-017</t>
        </is>
      </c>
      <c r="D485" s="10" t="n">
        <v>9</v>
      </c>
      <c r="E485" s="10" t="inlineStr">
        <is>
          <t>ORD-CHE-001710</t>
        </is>
      </c>
      <c r="F485" s="10" t="inlineStr">
        <is>
          <t>ECOM_B2C</t>
        </is>
      </c>
      <c r="G485" s="10" t="inlineStr">
        <is>
          <t>OMR Corridor</t>
        </is>
      </c>
      <c r="H485" s="10" t="n">
        <v>2.17</v>
      </c>
      <c r="I485" s="10" t="n">
        <v>600</v>
      </c>
      <c r="J485" s="10" t="n">
        <v>720</v>
      </c>
      <c r="K485" s="12" t="n">
        <v>666.7</v>
      </c>
      <c r="L485" s="12" t="n">
        <v>0</v>
      </c>
      <c r="M485" s="10" t="inlineStr">
        <is>
          <t>Yes</t>
        </is>
      </c>
      <c r="N485" s="11" t="n">
        <v>0.407</v>
      </c>
      <c r="O485" s="11" t="n">
        <v>0.55</v>
      </c>
      <c r="P485" s="12" t="n">
        <v>1</v>
      </c>
    </row>
    <row r="486">
      <c r="B486" s="16" t="inlineStr">
        <is>
          <t>CHE</t>
        </is>
      </c>
      <c r="C486" s="16" t="inlineStr">
        <is>
          <t>VEH-CHE-017</t>
        </is>
      </c>
      <c r="D486" s="16" t="n">
        <v>10</v>
      </c>
      <c r="E486" s="16" t="inlineStr">
        <is>
          <t>ORD-CHE-001623</t>
        </is>
      </c>
      <c r="F486" s="16" t="inlineStr">
        <is>
          <t>ECOM_B2C</t>
        </is>
      </c>
      <c r="G486" s="16" t="inlineStr">
        <is>
          <t>OMR Corridor</t>
        </is>
      </c>
      <c r="H486" s="16" t="n">
        <v>0.95</v>
      </c>
      <c r="I486" s="16" t="n">
        <v>600</v>
      </c>
      <c r="J486" s="16" t="n">
        <v>720</v>
      </c>
      <c r="K486" s="18" t="n">
        <v>687.3</v>
      </c>
      <c r="L486" s="18" t="n">
        <v>0</v>
      </c>
      <c r="M486" s="16" t="inlineStr">
        <is>
          <t>Yes</t>
        </is>
      </c>
      <c r="N486" s="17" t="n">
        <v>6.56</v>
      </c>
      <c r="O486" s="17" t="n">
        <v>8.856</v>
      </c>
      <c r="P486" s="18" t="n">
        <v>16.6</v>
      </c>
    </row>
    <row r="487">
      <c r="B487" s="10" t="inlineStr">
        <is>
          <t>CHE</t>
        </is>
      </c>
      <c r="C487" s="10" t="inlineStr">
        <is>
          <t>VEH-CHE-017</t>
        </is>
      </c>
      <c r="D487" s="10" t="n">
        <v>11</v>
      </c>
      <c r="E487" s="10" t="inlineStr">
        <is>
          <t>ORD-CHE-001632</t>
        </is>
      </c>
      <c r="F487" s="10" t="inlineStr">
        <is>
          <t>ECOM_B2C</t>
        </is>
      </c>
      <c r="G487" s="10" t="inlineStr">
        <is>
          <t>OMR Corridor</t>
        </is>
      </c>
      <c r="H487" s="10" t="n">
        <v>2.14</v>
      </c>
      <c r="I487" s="10" t="n">
        <v>600</v>
      </c>
      <c r="J487" s="10" t="n">
        <v>720</v>
      </c>
      <c r="K487" s="12" t="n">
        <v>694.5</v>
      </c>
      <c r="L487" s="12" t="n">
        <v>0</v>
      </c>
      <c r="M487" s="10" t="inlineStr">
        <is>
          <t>Yes</t>
        </is>
      </c>
      <c r="N487" s="11" t="n">
        <v>1.282</v>
      </c>
      <c r="O487" s="11" t="n">
        <v>1.731</v>
      </c>
      <c r="P487" s="12" t="n">
        <v>3.2</v>
      </c>
    </row>
    <row r="488">
      <c r="B488" s="16" t="inlineStr">
        <is>
          <t>CHE</t>
        </is>
      </c>
      <c r="C488" s="16" t="inlineStr">
        <is>
          <t>VEH-CHE-017</t>
        </is>
      </c>
      <c r="D488" s="16" t="n">
        <v>12</v>
      </c>
      <c r="E488" s="16" t="inlineStr">
        <is>
          <t>ORD-CHE-001689</t>
        </is>
      </c>
      <c r="F488" s="16" t="inlineStr">
        <is>
          <t>ECOM_B2C</t>
        </is>
      </c>
      <c r="G488" s="16" t="inlineStr">
        <is>
          <t>OMR Corridor</t>
        </is>
      </c>
      <c r="H488" s="16" t="n">
        <v>5.48</v>
      </c>
      <c r="I488" s="16" t="n">
        <v>720</v>
      </c>
      <c r="J488" s="16" t="n">
        <v>900</v>
      </c>
      <c r="K488" s="18" t="n">
        <v>699.9</v>
      </c>
      <c r="L488" s="18" t="n">
        <v>0</v>
      </c>
      <c r="M488" s="16" t="inlineStr">
        <is>
          <t>Yes</t>
        </is>
      </c>
      <c r="N488" s="17" t="n">
        <v>0.5669999999999999</v>
      </c>
      <c r="O488" s="17" t="n">
        <v>0.765</v>
      </c>
      <c r="P488" s="18" t="n">
        <v>1.4</v>
      </c>
    </row>
    <row r="489">
      <c r="B489" s="10" t="inlineStr">
        <is>
          <t>CHE</t>
        </is>
      </c>
      <c r="C489" s="10" t="inlineStr">
        <is>
          <t>VEH-CHE-017</t>
        </is>
      </c>
      <c r="D489" s="10" t="n">
        <v>13</v>
      </c>
      <c r="E489" s="10" t="inlineStr">
        <is>
          <t>ORD-CHE-001665</t>
        </is>
      </c>
      <c r="F489" s="10" t="inlineStr">
        <is>
          <t>ECOM_B2C</t>
        </is>
      </c>
      <c r="G489" s="10" t="inlineStr">
        <is>
          <t>OMR Corridor</t>
        </is>
      </c>
      <c r="H489" s="10" t="n">
        <v>2.84</v>
      </c>
      <c r="I489" s="10" t="n">
        <v>720</v>
      </c>
      <c r="J489" s="10" t="n">
        <v>900</v>
      </c>
      <c r="K489" s="12" t="n">
        <v>737.4</v>
      </c>
      <c r="L489" s="12" t="n">
        <v>0</v>
      </c>
      <c r="M489" s="10" t="inlineStr">
        <is>
          <t>Yes</t>
        </is>
      </c>
      <c r="N489" s="11" t="n">
        <v>5.299</v>
      </c>
      <c r="O489" s="11" t="n">
        <v>7.153</v>
      </c>
      <c r="P489" s="12" t="n">
        <v>13.4</v>
      </c>
    </row>
    <row r="490">
      <c r="B490" s="16" t="inlineStr">
        <is>
          <t>CHE</t>
        </is>
      </c>
      <c r="C490" s="16" t="inlineStr">
        <is>
          <t>VEH-CHE-017</t>
        </is>
      </c>
      <c r="D490" s="16" t="n">
        <v>14</v>
      </c>
      <c r="E490" s="16" t="inlineStr">
        <is>
          <t>ORD-CHE-001656</t>
        </is>
      </c>
      <c r="F490" s="16" t="inlineStr">
        <is>
          <t>ECOM_B2C</t>
        </is>
      </c>
      <c r="G490" s="16" t="inlineStr">
        <is>
          <t>OMR Corridor</t>
        </is>
      </c>
      <c r="H490" s="16" t="n">
        <v>1.5</v>
      </c>
      <c r="I490" s="16" t="n">
        <v>720</v>
      </c>
      <c r="J490" s="16" t="n">
        <v>900</v>
      </c>
      <c r="K490" s="18" t="n">
        <v>755.5</v>
      </c>
      <c r="L490" s="18" t="n">
        <v>0</v>
      </c>
      <c r="M490" s="16" t="inlineStr">
        <is>
          <t>Yes</t>
        </is>
      </c>
      <c r="N490" s="17" t="n">
        <v>5.587</v>
      </c>
      <c r="O490" s="17" t="n">
        <v>7.543</v>
      </c>
      <c r="P490" s="18" t="n">
        <v>14.1</v>
      </c>
    </row>
    <row r="491">
      <c r="B491" s="10" t="inlineStr">
        <is>
          <t>CHE</t>
        </is>
      </c>
      <c r="C491" s="10" t="inlineStr">
        <is>
          <t>VEH-CHE-017</t>
        </is>
      </c>
      <c r="D491" s="10" t="n">
        <v>15</v>
      </c>
      <c r="E491" s="10" t="inlineStr">
        <is>
          <t>ORD-CHE-001652</t>
        </is>
      </c>
      <c r="F491" s="10" t="inlineStr">
        <is>
          <t>ECOM_B2C</t>
        </is>
      </c>
      <c r="G491" s="10" t="inlineStr">
        <is>
          <t>OMR Corridor</t>
        </is>
      </c>
      <c r="H491" s="10" t="n">
        <v>0.67</v>
      </c>
      <c r="I491" s="10" t="n">
        <v>720</v>
      </c>
      <c r="J491" s="10" t="n">
        <v>900</v>
      </c>
      <c r="K491" s="12" t="n">
        <v>764</v>
      </c>
      <c r="L491" s="12" t="n">
        <v>0</v>
      </c>
      <c r="M491" s="10" t="inlineStr">
        <is>
          <t>Yes</t>
        </is>
      </c>
      <c r="N491" s="11" t="n">
        <v>1.788</v>
      </c>
      <c r="O491" s="11" t="n">
        <v>2.413</v>
      </c>
      <c r="P491" s="12" t="n">
        <v>4.5</v>
      </c>
    </row>
    <row r="492">
      <c r="B492" s="16" t="inlineStr">
        <is>
          <t>CHE</t>
        </is>
      </c>
      <c r="C492" s="16" t="inlineStr">
        <is>
          <t>VEH-CHE-017</t>
        </is>
      </c>
      <c r="D492" s="16" t="n">
        <v>16</v>
      </c>
      <c r="E492" s="16" t="inlineStr">
        <is>
          <t>ORD-CHE-001635</t>
        </is>
      </c>
      <c r="F492" s="16" t="inlineStr">
        <is>
          <t>ECOM_B2C</t>
        </is>
      </c>
      <c r="G492" s="16" t="inlineStr">
        <is>
          <t>South Chennai</t>
        </is>
      </c>
      <c r="H492" s="16" t="n">
        <v>2.88</v>
      </c>
      <c r="I492" s="16" t="n">
        <v>720</v>
      </c>
      <c r="J492" s="16" t="n">
        <v>900</v>
      </c>
      <c r="K492" s="18" t="n">
        <v>775.6</v>
      </c>
      <c r="L492" s="18" t="n">
        <v>0</v>
      </c>
      <c r="M492" s="16" t="inlineStr">
        <is>
          <t>Yes</t>
        </is>
      </c>
      <c r="N492" s="17" t="n">
        <v>2.926</v>
      </c>
      <c r="O492" s="17" t="n">
        <v>3.95</v>
      </c>
      <c r="P492" s="18" t="n">
        <v>7.6</v>
      </c>
    </row>
    <row r="493">
      <c r="B493" s="10" t="inlineStr">
        <is>
          <t>CHE</t>
        </is>
      </c>
      <c r="C493" s="10" t="inlineStr">
        <is>
          <t>VEH-CHE-019</t>
        </is>
      </c>
      <c r="D493" s="10" t="n">
        <v>1</v>
      </c>
      <c r="E493" s="10" t="inlineStr">
        <is>
          <t>ORD-CHE-001677</t>
        </is>
      </c>
      <c r="F493" s="10" t="inlineStr">
        <is>
          <t>ECOM_B2C</t>
        </is>
      </c>
      <c r="G493" s="10" t="inlineStr">
        <is>
          <t>West Chennai</t>
        </is>
      </c>
      <c r="H493" s="10" t="n">
        <v>1.7</v>
      </c>
      <c r="I493" s="10" t="n">
        <v>600</v>
      </c>
      <c r="J493" s="10" t="n">
        <v>720</v>
      </c>
      <c r="K493" s="12" t="n">
        <v>600</v>
      </c>
      <c r="L493" s="12" t="n">
        <v>0</v>
      </c>
      <c r="M493" s="10" t="inlineStr">
        <is>
          <t>Yes</t>
        </is>
      </c>
      <c r="N493" s="11" t="n">
        <v>6.166</v>
      </c>
      <c r="O493" s="11" t="n">
        <v>8.324</v>
      </c>
      <c r="P493" s="12" t="n">
        <v>30.3</v>
      </c>
    </row>
    <row r="494">
      <c r="B494" s="16" t="inlineStr">
        <is>
          <t>CHE</t>
        </is>
      </c>
      <c r="C494" s="16" t="inlineStr">
        <is>
          <t>VEH-CHE-019</t>
        </is>
      </c>
      <c r="D494" s="16" t="n">
        <v>2</v>
      </c>
      <c r="E494" s="16" t="inlineStr">
        <is>
          <t>ORD-CHE-001734</t>
        </is>
      </c>
      <c r="F494" s="16" t="inlineStr">
        <is>
          <t>FMCG_RETAIL</t>
        </is>
      </c>
      <c r="G494" s="16" t="inlineStr">
        <is>
          <t>West Chennai</t>
        </is>
      </c>
      <c r="H494" s="16" t="n">
        <v>125.54</v>
      </c>
      <c r="I494" s="16" t="n">
        <v>540</v>
      </c>
      <c r="J494" s="16" t="n">
        <v>780</v>
      </c>
      <c r="K494" s="18" t="n">
        <v>621.2</v>
      </c>
      <c r="L494" s="18" t="n">
        <v>0</v>
      </c>
      <c r="M494" s="16" t="inlineStr">
        <is>
          <t>Yes</t>
        </is>
      </c>
      <c r="N494" s="17" t="n">
        <v>3.492</v>
      </c>
      <c r="O494" s="17" t="n">
        <v>4.714</v>
      </c>
      <c r="P494" s="18" t="n">
        <v>17.2</v>
      </c>
    </row>
    <row r="495">
      <c r="B495" s="10" t="inlineStr">
        <is>
          <t>CHE</t>
        </is>
      </c>
      <c r="C495" s="10" t="inlineStr">
        <is>
          <t>VEH-CHE-019</t>
        </is>
      </c>
      <c r="D495" s="10" t="n">
        <v>3</v>
      </c>
      <c r="E495" s="10" t="inlineStr">
        <is>
          <t>ORD-CHE-001743</t>
        </is>
      </c>
      <c r="F495" s="10" t="inlineStr">
        <is>
          <t>FMCG_RETAIL</t>
        </is>
      </c>
      <c r="G495" s="10" t="inlineStr">
        <is>
          <t>South Chennai</t>
        </is>
      </c>
      <c r="H495" s="10" t="n">
        <v>100.04</v>
      </c>
      <c r="I495" s="10" t="n">
        <v>540</v>
      </c>
      <c r="J495" s="10" t="n">
        <v>780</v>
      </c>
      <c r="K495" s="12" t="n">
        <v>668</v>
      </c>
      <c r="L495" s="12" t="n">
        <v>0</v>
      </c>
      <c r="M495" s="10" t="inlineStr">
        <is>
          <t>Yes</t>
        </is>
      </c>
      <c r="N495" s="11" t="n">
        <v>6.562</v>
      </c>
      <c r="O495" s="11" t="n">
        <v>8.858000000000001</v>
      </c>
      <c r="P495" s="12" t="n">
        <v>32.4</v>
      </c>
    </row>
    <row r="496">
      <c r="B496" s="16" t="inlineStr">
        <is>
          <t>CHE</t>
        </is>
      </c>
      <c r="C496" s="16" t="inlineStr">
        <is>
          <t>VEH-CHE-019</t>
        </is>
      </c>
      <c r="D496" s="16" t="n">
        <v>4</v>
      </c>
      <c r="E496" s="16" t="inlineStr">
        <is>
          <t>ORD-CHE-001752</t>
        </is>
      </c>
      <c r="F496" s="16" t="inlineStr">
        <is>
          <t>FMCG_RETAIL</t>
        </is>
      </c>
      <c r="G496" s="16" t="inlineStr">
        <is>
          <t>OMR Corridor</t>
        </is>
      </c>
      <c r="H496" s="16" t="n">
        <v>41.47</v>
      </c>
      <c r="I496" s="16" t="n">
        <v>540</v>
      </c>
      <c r="J496" s="16" t="n">
        <v>780</v>
      </c>
      <c r="K496" s="18" t="n">
        <v>714.5</v>
      </c>
      <c r="L496" s="18" t="n">
        <v>0</v>
      </c>
      <c r="M496" s="16" t="inlineStr">
        <is>
          <t>Yes</t>
        </is>
      </c>
      <c r="N496" s="17" t="n">
        <v>11.346</v>
      </c>
      <c r="O496" s="17" t="n">
        <v>15.318</v>
      </c>
      <c r="P496" s="18" t="n">
        <v>33</v>
      </c>
    </row>
    <row r="497">
      <c r="B497" s="10" t="inlineStr">
        <is>
          <t>CHE</t>
        </is>
      </c>
      <c r="C497" s="10" t="inlineStr">
        <is>
          <t>VEH-CHE-019</t>
        </is>
      </c>
      <c r="D497" s="10" t="n">
        <v>5</v>
      </c>
      <c r="E497" s="10" t="inlineStr">
        <is>
          <t>ORD-CHE-001739</t>
        </is>
      </c>
      <c r="F497" s="10" t="inlineStr">
        <is>
          <t>FMCG_RETAIL</t>
        </is>
      </c>
      <c r="G497" s="10" t="inlineStr">
        <is>
          <t>OMR Corridor</t>
        </is>
      </c>
      <c r="H497" s="10" t="n">
        <v>170.39</v>
      </c>
      <c r="I497" s="10" t="n">
        <v>600</v>
      </c>
      <c r="J497" s="10" t="n">
        <v>960</v>
      </c>
      <c r="K497" s="12" t="n">
        <v>727.5</v>
      </c>
      <c r="L497" s="12" t="n">
        <v>0</v>
      </c>
      <c r="M497" s="10" t="inlineStr">
        <is>
          <t>Yes</t>
        </is>
      </c>
      <c r="N497" s="11" t="n">
        <v>0.528</v>
      </c>
      <c r="O497" s="11" t="n">
        <v>0.713</v>
      </c>
      <c r="P497" s="12" t="n">
        <v>1.5</v>
      </c>
    </row>
    <row r="498">
      <c r="B498" s="16" t="inlineStr">
        <is>
          <t>CHE</t>
        </is>
      </c>
      <c r="C498" s="16" t="inlineStr">
        <is>
          <t>VEH-CHE-019</t>
        </is>
      </c>
      <c r="D498" s="16" t="n">
        <v>6</v>
      </c>
      <c r="E498" s="16" t="inlineStr">
        <is>
          <t>ORD-CHE-001745</t>
        </is>
      </c>
      <c r="F498" s="16" t="inlineStr">
        <is>
          <t>FMCG_RETAIL</t>
        </is>
      </c>
      <c r="G498" s="16" t="inlineStr">
        <is>
          <t>OMR Corridor</t>
        </is>
      </c>
      <c r="H498" s="16" t="n">
        <v>297.74</v>
      </c>
      <c r="I498" s="16" t="n">
        <v>540</v>
      </c>
      <c r="J498" s="16" t="n">
        <v>780</v>
      </c>
      <c r="K498" s="18" t="n">
        <v>760.4</v>
      </c>
      <c r="L498" s="18" t="n">
        <v>0</v>
      </c>
      <c r="M498" s="16" t="inlineStr">
        <is>
          <t>Yes</t>
        </is>
      </c>
      <c r="N498" s="17" t="n">
        <v>5.833</v>
      </c>
      <c r="O498" s="17" t="n">
        <v>7.874</v>
      </c>
      <c r="P498" s="18" t="n">
        <v>17</v>
      </c>
    </row>
    <row r="499">
      <c r="B499" s="10" t="inlineStr">
        <is>
          <t>CHE</t>
        </is>
      </c>
      <c r="C499" s="10" t="inlineStr">
        <is>
          <t>VEH-CHE-019</t>
        </is>
      </c>
      <c r="D499" s="10" t="n">
        <v>7</v>
      </c>
      <c r="E499" s="10" t="inlineStr">
        <is>
          <t>ORD-CHE-001747</t>
        </is>
      </c>
      <c r="F499" s="10" t="inlineStr">
        <is>
          <t>FMCG_RETAIL</t>
        </is>
      </c>
      <c r="G499" s="10" t="inlineStr">
        <is>
          <t>OMR Corridor</t>
        </is>
      </c>
      <c r="H499" s="10" t="n">
        <v>113.37</v>
      </c>
      <c r="I499" s="10" t="n">
        <v>540</v>
      </c>
      <c r="J499" s="10" t="n">
        <v>780</v>
      </c>
      <c r="K499" s="12" t="n">
        <v>780.9</v>
      </c>
      <c r="L499" s="12" t="n">
        <v>0.9</v>
      </c>
      <c r="M499" s="10" t="inlineStr">
        <is>
          <t>No</t>
        </is>
      </c>
      <c r="N499" s="11" t="n">
        <v>0</v>
      </c>
      <c r="O499" s="11" t="n">
        <v>0</v>
      </c>
      <c r="P499" s="12" t="n">
        <v>0</v>
      </c>
    </row>
    <row r="500">
      <c r="B500" s="16" t="inlineStr">
        <is>
          <t>CHE</t>
        </is>
      </c>
      <c r="C500" s="16" t="inlineStr">
        <is>
          <t>VEH-CHE-019</t>
        </is>
      </c>
      <c r="D500" s="16" t="n">
        <v>8</v>
      </c>
      <c r="E500" s="16" t="inlineStr">
        <is>
          <t>ORD-CHE-001737</t>
        </is>
      </c>
      <c r="F500" s="16" t="inlineStr">
        <is>
          <t>FMCG_RETAIL</t>
        </is>
      </c>
      <c r="G500" s="16" t="inlineStr">
        <is>
          <t>South Chennai</t>
        </is>
      </c>
      <c r="H500" s="16" t="n">
        <v>133.14</v>
      </c>
      <c r="I500" s="16" t="n">
        <v>600</v>
      </c>
      <c r="J500" s="16" t="n">
        <v>960</v>
      </c>
      <c r="K500" s="18" t="n">
        <v>837.4</v>
      </c>
      <c r="L500" s="18" t="n">
        <v>0</v>
      </c>
      <c r="M500" s="16" t="inlineStr">
        <is>
          <t>Yes</t>
        </is>
      </c>
      <c r="N500" s="17" t="n">
        <v>14.11</v>
      </c>
      <c r="O500" s="17" t="n">
        <v>19.048</v>
      </c>
      <c r="P500" s="18" t="n">
        <v>42.6</v>
      </c>
    </row>
    <row r="501">
      <c r="B501" s="10" t="inlineStr">
        <is>
          <t>CHE</t>
        </is>
      </c>
      <c r="C501" s="10" t="inlineStr">
        <is>
          <t>VEH-CHE-019</t>
        </is>
      </c>
      <c r="D501" s="10" t="n">
        <v>9</v>
      </c>
      <c r="E501" s="10" t="inlineStr">
        <is>
          <t>ORD-CHE-001735</t>
        </is>
      </c>
      <c r="F501" s="10" t="inlineStr">
        <is>
          <t>FMCG_RETAIL</t>
        </is>
      </c>
      <c r="G501" s="10" t="inlineStr">
        <is>
          <t>OMR Corridor</t>
        </is>
      </c>
      <c r="H501" s="10" t="n">
        <v>45.41</v>
      </c>
      <c r="I501" s="10" t="n">
        <v>840</v>
      </c>
      <c r="J501" s="10" t="n">
        <v>1080</v>
      </c>
      <c r="K501" s="12" t="n">
        <v>886.8</v>
      </c>
      <c r="L501" s="12" t="n">
        <v>0</v>
      </c>
      <c r="M501" s="10" t="inlineStr">
        <is>
          <t>Yes</t>
        </is>
      </c>
      <c r="N501" s="11" t="n">
        <v>11.925</v>
      </c>
      <c r="O501" s="11" t="n">
        <v>16.099</v>
      </c>
      <c r="P501" s="12" t="n">
        <v>34.7</v>
      </c>
    </row>
    <row r="502">
      <c r="B502" s="16" t="inlineStr">
        <is>
          <t>CHE</t>
        </is>
      </c>
      <c r="C502" s="16" t="inlineStr">
        <is>
          <t>VEH-CHE-019</t>
        </is>
      </c>
      <c r="D502" s="16" t="n">
        <v>10</v>
      </c>
      <c r="E502" s="16" t="inlineStr">
        <is>
          <t>ORD-CHE-001758</t>
        </is>
      </c>
      <c r="F502" s="16" t="inlineStr">
        <is>
          <t>FMCG_RETAIL</t>
        </is>
      </c>
      <c r="G502" s="16" t="inlineStr">
        <is>
          <t>South Chennai</t>
        </is>
      </c>
      <c r="H502" s="16" t="n">
        <v>60.41</v>
      </c>
      <c r="I502" s="16" t="n">
        <v>840</v>
      </c>
      <c r="J502" s="16" t="n">
        <v>1080</v>
      </c>
      <c r="K502" s="18" t="n">
        <v>910.8</v>
      </c>
      <c r="L502" s="18" t="n">
        <v>0</v>
      </c>
      <c r="M502" s="16" t="inlineStr">
        <is>
          <t>Yes</t>
        </is>
      </c>
      <c r="N502" s="17" t="n">
        <v>4.106</v>
      </c>
      <c r="O502" s="17" t="n">
        <v>5.543</v>
      </c>
      <c r="P502" s="18" t="n">
        <v>12.4</v>
      </c>
    </row>
    <row r="503">
      <c r="B503" s="10" t="inlineStr">
        <is>
          <t>CHE</t>
        </is>
      </c>
      <c r="C503" s="10" t="inlineStr">
        <is>
          <t>VEH-CHE-019</t>
        </is>
      </c>
      <c r="D503" s="10" t="n">
        <v>11</v>
      </c>
      <c r="E503" s="10" t="inlineStr">
        <is>
          <t>ORD-CHE-001754</t>
        </is>
      </c>
      <c r="F503" s="10" t="inlineStr">
        <is>
          <t>FMCG_RETAIL</t>
        </is>
      </c>
      <c r="G503" s="10" t="inlineStr">
        <is>
          <t>South Chennai</t>
        </is>
      </c>
      <c r="H503" s="10" t="n">
        <v>145.66</v>
      </c>
      <c r="I503" s="10" t="n">
        <v>600</v>
      </c>
      <c r="J503" s="10" t="n">
        <v>960</v>
      </c>
      <c r="K503" s="12" t="n">
        <v>922.9</v>
      </c>
      <c r="L503" s="12" t="n">
        <v>0</v>
      </c>
      <c r="M503" s="10" t="inlineStr">
        <is>
          <t>Yes</t>
        </is>
      </c>
      <c r="N503" s="11" t="n">
        <v>0</v>
      </c>
      <c r="O503" s="11" t="n">
        <v>0</v>
      </c>
      <c r="P503" s="12" t="n">
        <v>0</v>
      </c>
    </row>
    <row r="504">
      <c r="B504" s="16" t="inlineStr">
        <is>
          <t>CHE</t>
        </is>
      </c>
      <c r="C504" s="16" t="inlineStr">
        <is>
          <t>VEH-CHE-019</t>
        </is>
      </c>
      <c r="D504" s="16" t="n">
        <v>12</v>
      </c>
      <c r="E504" s="16" t="inlineStr">
        <is>
          <t>ORD-CHE-001744</t>
        </is>
      </c>
      <c r="F504" s="16" t="inlineStr">
        <is>
          <t>FMCG_RETAIL</t>
        </is>
      </c>
      <c r="G504" s="16" t="inlineStr">
        <is>
          <t>South Chennai</t>
        </is>
      </c>
      <c r="H504" s="16" t="n">
        <v>201.29</v>
      </c>
      <c r="I504" s="16" t="n">
        <v>840</v>
      </c>
      <c r="J504" s="16" t="n">
        <v>1080</v>
      </c>
      <c r="K504" s="18" t="n">
        <v>952.7</v>
      </c>
      <c r="L504" s="18" t="n">
        <v>0</v>
      </c>
      <c r="M504" s="16" t="inlineStr">
        <is>
          <t>Yes</t>
        </is>
      </c>
      <c r="N504" s="17" t="n">
        <v>4.884</v>
      </c>
      <c r="O504" s="17" t="n">
        <v>6.594</v>
      </c>
      <c r="P504" s="18" t="n">
        <v>14.7</v>
      </c>
    </row>
    <row r="505">
      <c r="B505" s="10" t="inlineStr">
        <is>
          <t>CHE</t>
        </is>
      </c>
      <c r="C505" s="10" t="inlineStr">
        <is>
          <t>VEH-CHE-019</t>
        </is>
      </c>
      <c r="D505" s="10" t="n">
        <v>13</v>
      </c>
      <c r="E505" s="10" t="inlineStr">
        <is>
          <t>ORD-CHE-001742</t>
        </is>
      </c>
      <c r="F505" s="10" t="inlineStr">
        <is>
          <t>FMCG_RETAIL</t>
        </is>
      </c>
      <c r="G505" s="10" t="inlineStr">
        <is>
          <t>West Chennai</t>
        </is>
      </c>
      <c r="H505" s="10" t="n">
        <v>136.96</v>
      </c>
      <c r="I505" s="10" t="n">
        <v>840</v>
      </c>
      <c r="J505" s="10" t="n">
        <v>1080</v>
      </c>
      <c r="K505" s="12" t="n">
        <v>991.7</v>
      </c>
      <c r="L505" s="12" t="n">
        <v>0</v>
      </c>
      <c r="M505" s="10" t="inlineStr">
        <is>
          <t>Yes</t>
        </is>
      </c>
      <c r="N505" s="11" t="n">
        <v>7.302</v>
      </c>
      <c r="O505" s="11" t="n">
        <v>9.858000000000001</v>
      </c>
      <c r="P505" s="12" t="n">
        <v>22</v>
      </c>
    </row>
    <row r="506">
      <c r="B506" s="16" t="inlineStr">
        <is>
          <t>CHE</t>
        </is>
      </c>
      <c r="C506" s="16" t="inlineStr">
        <is>
          <t>VEH-CHE-019</t>
        </is>
      </c>
      <c r="D506" s="16" t="n">
        <v>14</v>
      </c>
      <c r="E506" s="16" t="inlineStr">
        <is>
          <t>ORD-CHE-001748</t>
        </is>
      </c>
      <c r="F506" s="16" t="inlineStr">
        <is>
          <t>FMCG_RETAIL</t>
        </is>
      </c>
      <c r="G506" s="16" t="inlineStr">
        <is>
          <t>West Chennai</t>
        </is>
      </c>
      <c r="H506" s="16" t="n">
        <v>139.45</v>
      </c>
      <c r="I506" s="16" t="n">
        <v>840</v>
      </c>
      <c r="J506" s="16" t="n">
        <v>1080</v>
      </c>
      <c r="K506" s="18" t="n">
        <v>1013.2</v>
      </c>
      <c r="L506" s="18" t="n">
        <v>0</v>
      </c>
      <c r="M506" s="16" t="inlineStr">
        <is>
          <t>Yes</t>
        </is>
      </c>
      <c r="N506" s="17" t="n">
        <v>2.239</v>
      </c>
      <c r="O506" s="17" t="n">
        <v>3.023</v>
      </c>
      <c r="P506" s="18" t="n">
        <v>6.7</v>
      </c>
    </row>
    <row r="507">
      <c r="B507" s="10" t="inlineStr">
        <is>
          <t>CHE</t>
        </is>
      </c>
      <c r="C507" s="10" t="inlineStr">
        <is>
          <t>VEH-CHE-019</t>
        </is>
      </c>
      <c r="D507" s="10" t="n">
        <v>15</v>
      </c>
      <c r="E507" s="10" t="inlineStr">
        <is>
          <t>ORD-CHE-001755</t>
        </is>
      </c>
      <c r="F507" s="10" t="inlineStr">
        <is>
          <t>FMCG_RETAIL</t>
        </is>
      </c>
      <c r="G507" s="10" t="inlineStr">
        <is>
          <t>West Chennai</t>
        </is>
      </c>
      <c r="H507" s="10" t="n">
        <v>220.46</v>
      </c>
      <c r="I507" s="10" t="n">
        <v>840</v>
      </c>
      <c r="J507" s="10" t="n">
        <v>1080</v>
      </c>
      <c r="K507" s="12" t="n">
        <v>1035.4</v>
      </c>
      <c r="L507" s="12" t="n">
        <v>0</v>
      </c>
      <c r="M507" s="10" t="inlineStr">
        <is>
          <t>Yes</t>
        </is>
      </c>
      <c r="N507" s="11" t="n">
        <v>1.216</v>
      </c>
      <c r="O507" s="11" t="n">
        <v>1.641</v>
      </c>
      <c r="P507" s="12" t="n">
        <v>7.3</v>
      </c>
    </row>
    <row r="508">
      <c r="B508" s="16" t="inlineStr">
        <is>
          <t>CHE</t>
        </is>
      </c>
      <c r="C508" s="16" t="inlineStr">
        <is>
          <t>VEH-CHE-019</t>
        </is>
      </c>
      <c r="D508" s="16" t="n">
        <v>16</v>
      </c>
      <c r="E508" s="16" t="inlineStr">
        <is>
          <t>ORD-CHE-001627</t>
        </is>
      </c>
      <c r="F508" s="16" t="inlineStr">
        <is>
          <t>ECOM_B2C</t>
        </is>
      </c>
      <c r="G508" s="16" t="inlineStr">
        <is>
          <t>West Chennai</t>
        </is>
      </c>
      <c r="H508" s="16" t="n">
        <v>25</v>
      </c>
      <c r="I508" s="16" t="n">
        <v>900</v>
      </c>
      <c r="J508" s="16" t="n">
        <v>1080</v>
      </c>
      <c r="K508" s="18" t="n">
        <v>1060.2</v>
      </c>
      <c r="L508" s="18" t="n">
        <v>0</v>
      </c>
      <c r="M508" s="16" t="inlineStr">
        <is>
          <t>Yes</t>
        </is>
      </c>
      <c r="N508" s="17" t="n">
        <v>1.167</v>
      </c>
      <c r="O508" s="17" t="n">
        <v>1.575</v>
      </c>
      <c r="P508" s="18" t="n">
        <v>7</v>
      </c>
    </row>
    <row r="509">
      <c r="B509" s="10" t="inlineStr">
        <is>
          <t>CHE</t>
        </is>
      </c>
      <c r="C509" s="10" t="inlineStr">
        <is>
          <t>VEH-CHE-019</t>
        </is>
      </c>
      <c r="D509" s="10" t="n">
        <v>17</v>
      </c>
      <c r="E509" s="10" t="inlineStr">
        <is>
          <t>ORD-CHE-001684</t>
        </is>
      </c>
      <c r="F509" s="10" t="inlineStr">
        <is>
          <t>ECOM_B2C</t>
        </is>
      </c>
      <c r="G509" s="10" t="inlineStr">
        <is>
          <t>North Chennai</t>
        </is>
      </c>
      <c r="H509" s="10" t="n">
        <v>2.85</v>
      </c>
      <c r="I509" s="10" t="n">
        <v>1080</v>
      </c>
      <c r="J509" s="10" t="n">
        <v>1200</v>
      </c>
      <c r="K509" s="12" t="n">
        <v>1097.4</v>
      </c>
      <c r="L509" s="12" t="n">
        <v>0</v>
      </c>
      <c r="M509" s="10" t="inlineStr">
        <is>
          <t>Yes</t>
        </is>
      </c>
      <c r="N509" s="11" t="n">
        <v>5.396</v>
      </c>
      <c r="O509" s="11" t="n">
        <v>7.284</v>
      </c>
      <c r="P509" s="12" t="n">
        <v>33.3</v>
      </c>
    </row>
    <row r="510">
      <c r="B510" s="16" t="inlineStr">
        <is>
          <t>CHE</t>
        </is>
      </c>
      <c r="C510" s="16" t="inlineStr">
        <is>
          <t>VEH-CHE-019</t>
        </is>
      </c>
      <c r="D510" s="16" t="n">
        <v>18</v>
      </c>
      <c r="E510" s="16" t="inlineStr">
        <is>
          <t>ORD-CHE-001723</t>
        </is>
      </c>
      <c r="F510" s="16" t="inlineStr">
        <is>
          <t>ECOM_B2C</t>
        </is>
      </c>
      <c r="G510" s="16" t="inlineStr">
        <is>
          <t>North Chennai</t>
        </is>
      </c>
      <c r="H510" s="16" t="n">
        <v>8.25</v>
      </c>
      <c r="I510" s="16" t="n">
        <v>1080</v>
      </c>
      <c r="J510" s="16" t="n">
        <v>1200</v>
      </c>
      <c r="K510" s="18" t="n">
        <v>1101.4</v>
      </c>
      <c r="L510" s="18" t="n">
        <v>0</v>
      </c>
      <c r="M510" s="16" t="inlineStr">
        <is>
          <t>Yes</t>
        </is>
      </c>
      <c r="N510" s="17" t="n">
        <v>0</v>
      </c>
      <c r="O510" s="17" t="n">
        <v>0</v>
      </c>
      <c r="P510" s="18" t="n">
        <v>0</v>
      </c>
    </row>
    <row r="511">
      <c r="B511" s="10" t="inlineStr">
        <is>
          <t>CHE</t>
        </is>
      </c>
      <c r="C511" s="10" t="inlineStr">
        <is>
          <t>VEH-CHE-021</t>
        </is>
      </c>
      <c r="D511" s="10" t="n">
        <v>1</v>
      </c>
      <c r="E511" s="10" t="inlineStr">
        <is>
          <t>ORD-CHE-001616</t>
        </is>
      </c>
      <c r="F511" s="10" t="inlineStr">
        <is>
          <t>ECOM_B2C</t>
        </is>
      </c>
      <c r="G511" s="10" t="inlineStr">
        <is>
          <t>North Chennai</t>
        </is>
      </c>
      <c r="H511" s="10" t="n">
        <v>6.86</v>
      </c>
      <c r="I511" s="10" t="n">
        <v>540</v>
      </c>
      <c r="J511" s="10" t="n">
        <v>720</v>
      </c>
      <c r="K511" s="12" t="n">
        <v>540</v>
      </c>
      <c r="L511" s="12" t="n">
        <v>0</v>
      </c>
      <c r="M511" s="10" t="inlineStr">
        <is>
          <t>Yes</t>
        </is>
      </c>
      <c r="N511" s="11" t="n">
        <v>6.171</v>
      </c>
      <c r="O511" s="11" t="n">
        <v>8.331</v>
      </c>
      <c r="P511" s="12" t="n">
        <v>28.9</v>
      </c>
    </row>
    <row r="512">
      <c r="B512" s="16" t="inlineStr">
        <is>
          <t>CHE</t>
        </is>
      </c>
      <c r="C512" s="16" t="inlineStr">
        <is>
          <t>VEH-CHE-021</t>
        </is>
      </c>
      <c r="D512" s="16" t="n">
        <v>2</v>
      </c>
      <c r="E512" s="16" t="inlineStr">
        <is>
          <t>ORD-CHE-001645</t>
        </is>
      </c>
      <c r="F512" s="16" t="inlineStr">
        <is>
          <t>ECOM_B2C</t>
        </is>
      </c>
      <c r="G512" s="16" t="inlineStr">
        <is>
          <t>North Chennai</t>
        </is>
      </c>
      <c r="H512" s="16" t="n">
        <v>4.68</v>
      </c>
      <c r="I512" s="16" t="n">
        <v>540</v>
      </c>
      <c r="J512" s="16" t="n">
        <v>720</v>
      </c>
      <c r="K512" s="18" t="n">
        <v>544</v>
      </c>
      <c r="L512" s="18" t="n">
        <v>0</v>
      </c>
      <c r="M512" s="16" t="inlineStr">
        <is>
          <t>Yes</t>
        </is>
      </c>
      <c r="N512" s="17" t="n">
        <v>0</v>
      </c>
      <c r="O512" s="17" t="n">
        <v>0</v>
      </c>
      <c r="P512" s="18" t="n">
        <v>0</v>
      </c>
    </row>
    <row r="513">
      <c r="B513" s="10" t="inlineStr">
        <is>
          <t>CHE</t>
        </is>
      </c>
      <c r="C513" s="10" t="inlineStr">
        <is>
          <t>VEH-CHE-021</t>
        </is>
      </c>
      <c r="D513" s="10" t="n">
        <v>3</v>
      </c>
      <c r="E513" s="10" t="inlineStr">
        <is>
          <t>ORD-CHE-001653</t>
        </is>
      </c>
      <c r="F513" s="10" t="inlineStr">
        <is>
          <t>ECOM_B2C</t>
        </is>
      </c>
      <c r="G513" s="10" t="inlineStr">
        <is>
          <t>North Chennai</t>
        </is>
      </c>
      <c r="H513" s="10" t="n">
        <v>2.29</v>
      </c>
      <c r="I513" s="10" t="n">
        <v>540</v>
      </c>
      <c r="J513" s="10" t="n">
        <v>720</v>
      </c>
      <c r="K513" s="12" t="n">
        <v>550.1</v>
      </c>
      <c r="L513" s="12" t="n">
        <v>0</v>
      </c>
      <c r="M513" s="10" t="inlineStr">
        <is>
          <t>Yes</t>
        </is>
      </c>
      <c r="N513" s="11" t="n">
        <v>0.451</v>
      </c>
      <c r="O513" s="11" t="n">
        <v>0.609</v>
      </c>
      <c r="P513" s="12" t="n">
        <v>2.1</v>
      </c>
    </row>
    <row r="514">
      <c r="B514" s="16" t="inlineStr">
        <is>
          <t>CHE</t>
        </is>
      </c>
      <c r="C514" s="16" t="inlineStr">
        <is>
          <t>VEH-CHE-021</t>
        </is>
      </c>
      <c r="D514" s="16" t="n">
        <v>4</v>
      </c>
      <c r="E514" s="16" t="inlineStr">
        <is>
          <t>ORD-CHE-001691</t>
        </is>
      </c>
      <c r="F514" s="16" t="inlineStr">
        <is>
          <t>ECOM_B2C</t>
        </is>
      </c>
      <c r="G514" s="16" t="inlineStr">
        <is>
          <t>North Chennai</t>
        </is>
      </c>
      <c r="H514" s="16" t="n">
        <v>2.79</v>
      </c>
      <c r="I514" s="16" t="n">
        <v>540</v>
      </c>
      <c r="J514" s="16" t="n">
        <v>720</v>
      </c>
      <c r="K514" s="18" t="n">
        <v>570.6</v>
      </c>
      <c r="L514" s="18" t="n">
        <v>0</v>
      </c>
      <c r="M514" s="16" t="inlineStr">
        <is>
          <t>Yes</t>
        </is>
      </c>
      <c r="N514" s="17" t="n">
        <v>3.519</v>
      </c>
      <c r="O514" s="17" t="n">
        <v>4.75</v>
      </c>
      <c r="P514" s="18" t="n">
        <v>16.5</v>
      </c>
    </row>
    <row r="515">
      <c r="B515" s="10" t="inlineStr">
        <is>
          <t>CHE</t>
        </is>
      </c>
      <c r="C515" s="10" t="inlineStr">
        <is>
          <t>VEH-CHE-021</t>
        </is>
      </c>
      <c r="D515" s="10" t="n">
        <v>5</v>
      </c>
      <c r="E515" s="10" t="inlineStr">
        <is>
          <t>ORD-CHE-001756</t>
        </is>
      </c>
      <c r="F515" s="10" t="inlineStr">
        <is>
          <t>FMCG_RETAIL</t>
        </is>
      </c>
      <c r="G515" s="10" t="inlineStr">
        <is>
          <t>North Chennai</t>
        </is>
      </c>
      <c r="H515" s="10" t="n">
        <v>146.52</v>
      </c>
      <c r="I515" s="10" t="n">
        <v>600</v>
      </c>
      <c r="J515" s="10" t="n">
        <v>960</v>
      </c>
      <c r="K515" s="12" t="n">
        <v>596.9</v>
      </c>
      <c r="L515" s="12" t="n">
        <v>0</v>
      </c>
      <c r="M515" s="10" t="inlineStr">
        <is>
          <t>Yes</t>
        </is>
      </c>
      <c r="N515" s="11" t="n">
        <v>4.761</v>
      </c>
      <c r="O515" s="11" t="n">
        <v>6.428</v>
      </c>
      <c r="P515" s="12" t="n">
        <v>22.3</v>
      </c>
    </row>
    <row r="516">
      <c r="B516" s="16" t="inlineStr">
        <is>
          <t>CHE</t>
        </is>
      </c>
      <c r="C516" s="16" t="inlineStr">
        <is>
          <t>VEH-CHE-021</t>
        </is>
      </c>
      <c r="D516" s="16" t="n">
        <v>6</v>
      </c>
      <c r="E516" s="16" t="inlineStr">
        <is>
          <t>ORD-CHE-001619</t>
        </is>
      </c>
      <c r="F516" s="16" t="inlineStr">
        <is>
          <t>ECOM_B2C</t>
        </is>
      </c>
      <c r="G516" s="16" t="inlineStr">
        <is>
          <t>North Chennai</t>
        </is>
      </c>
      <c r="H516" s="16" t="n">
        <v>5.6</v>
      </c>
      <c r="I516" s="16" t="n">
        <v>540</v>
      </c>
      <c r="J516" s="16" t="n">
        <v>720</v>
      </c>
      <c r="K516" s="18" t="n">
        <v>622.1</v>
      </c>
      <c r="L516" s="18" t="n">
        <v>0</v>
      </c>
      <c r="M516" s="16" t="inlineStr">
        <is>
          <t>Yes</t>
        </is>
      </c>
      <c r="N516" s="17" t="n">
        <v>1.488</v>
      </c>
      <c r="O516" s="17" t="n">
        <v>2.009</v>
      </c>
      <c r="P516" s="18" t="n">
        <v>7</v>
      </c>
    </row>
    <row r="517">
      <c r="B517" s="10" t="inlineStr">
        <is>
          <t>CHE</t>
        </is>
      </c>
      <c r="C517" s="10" t="inlineStr">
        <is>
          <t>VEH-CHE-021</t>
        </is>
      </c>
      <c r="D517" s="10" t="n">
        <v>7</v>
      </c>
      <c r="E517" s="10" t="inlineStr">
        <is>
          <t>ORD-CHE-001682</t>
        </is>
      </c>
      <c r="F517" s="10" t="inlineStr">
        <is>
          <t>ECOM_B2C</t>
        </is>
      </c>
      <c r="G517" s="10" t="inlineStr">
        <is>
          <t>North Chennai</t>
        </is>
      </c>
      <c r="H517" s="10" t="n">
        <v>2.45</v>
      </c>
      <c r="I517" s="10" t="n">
        <v>540</v>
      </c>
      <c r="J517" s="10" t="n">
        <v>720</v>
      </c>
      <c r="K517" s="12" t="n">
        <v>655.3</v>
      </c>
      <c r="L517" s="12" t="n">
        <v>0</v>
      </c>
      <c r="M517" s="10" t="inlineStr">
        <is>
          <t>Yes</t>
        </is>
      </c>
      <c r="N517" s="11" t="n">
        <v>6.239</v>
      </c>
      <c r="O517" s="11" t="n">
        <v>8.423</v>
      </c>
      <c r="P517" s="12" t="n">
        <v>29.2</v>
      </c>
    </row>
    <row r="518">
      <c r="B518" s="16" t="inlineStr">
        <is>
          <t>CHE</t>
        </is>
      </c>
      <c r="C518" s="16" t="inlineStr">
        <is>
          <t>VEH-CHE-021</t>
        </is>
      </c>
      <c r="D518" s="16" t="n">
        <v>8</v>
      </c>
      <c r="E518" s="16" t="inlineStr">
        <is>
          <t>ORD-CHE-001724</t>
        </is>
      </c>
      <c r="F518" s="16" t="inlineStr">
        <is>
          <t>ECOM_B2C</t>
        </is>
      </c>
      <c r="G518" s="16" t="inlineStr">
        <is>
          <t>West Chennai</t>
        </is>
      </c>
      <c r="H518" s="16" t="n">
        <v>1.89</v>
      </c>
      <c r="I518" s="16" t="n">
        <v>720</v>
      </c>
      <c r="J518" s="16" t="n">
        <v>900</v>
      </c>
      <c r="K518" s="18" t="n">
        <v>674.6</v>
      </c>
      <c r="L518" s="18" t="n">
        <v>0</v>
      </c>
      <c r="M518" s="16" t="inlineStr">
        <is>
          <t>Yes</t>
        </is>
      </c>
      <c r="N518" s="17" t="n">
        <v>3.35</v>
      </c>
      <c r="O518" s="17" t="n">
        <v>4.522</v>
      </c>
      <c r="P518" s="18" t="n">
        <v>15.3</v>
      </c>
    </row>
    <row r="519">
      <c r="B519" s="10" t="inlineStr">
        <is>
          <t>CHE</t>
        </is>
      </c>
      <c r="C519" s="10" t="inlineStr">
        <is>
          <t>VEH-CHE-021</t>
        </is>
      </c>
      <c r="D519" s="10" t="n">
        <v>9</v>
      </c>
      <c r="E519" s="10" t="inlineStr">
        <is>
          <t>ORD-CHE-001740</t>
        </is>
      </c>
      <c r="F519" s="10" t="inlineStr">
        <is>
          <t>FMCG_RETAIL</t>
        </is>
      </c>
      <c r="G519" s="10" t="inlineStr">
        <is>
          <t>West Chennai</t>
        </is>
      </c>
      <c r="H519" s="10" t="n">
        <v>171.77</v>
      </c>
      <c r="I519" s="10" t="n">
        <v>540</v>
      </c>
      <c r="J519" s="10" t="n">
        <v>780</v>
      </c>
      <c r="K519" s="12" t="n">
        <v>729.7</v>
      </c>
      <c r="L519" s="12" t="n">
        <v>0</v>
      </c>
      <c r="M519" s="10" t="inlineStr">
        <is>
          <t>Yes</t>
        </is>
      </c>
      <c r="N519" s="11" t="n">
        <v>2.05</v>
      </c>
      <c r="O519" s="11" t="n">
        <v>2.768</v>
      </c>
      <c r="P519" s="12" t="n">
        <v>5.7</v>
      </c>
    </row>
    <row r="520">
      <c r="B520" s="16" t="inlineStr">
        <is>
          <t>CHE</t>
        </is>
      </c>
      <c r="C520" s="16" t="inlineStr">
        <is>
          <t>VEH-CHE-021</t>
        </is>
      </c>
      <c r="D520" s="16" t="n">
        <v>10</v>
      </c>
      <c r="E520" s="16" t="inlineStr">
        <is>
          <t>ORD-CHE-001751</t>
        </is>
      </c>
      <c r="F520" s="16" t="inlineStr">
        <is>
          <t>FMCG_RETAIL</t>
        </is>
      </c>
      <c r="G520" s="16" t="inlineStr">
        <is>
          <t>West Chennai</t>
        </is>
      </c>
      <c r="H520" s="16" t="n">
        <v>198.34</v>
      </c>
      <c r="I520" s="16" t="n">
        <v>540</v>
      </c>
      <c r="J520" s="16" t="n">
        <v>780</v>
      </c>
      <c r="K520" s="18" t="n">
        <v>745.7</v>
      </c>
      <c r="L520" s="18" t="n">
        <v>0</v>
      </c>
      <c r="M520" s="16" t="inlineStr">
        <is>
          <t>Yes</t>
        </is>
      </c>
      <c r="N520" s="17" t="n">
        <v>0</v>
      </c>
      <c r="O520" s="17" t="n">
        <v>0</v>
      </c>
      <c r="P520" s="18" t="n">
        <v>0</v>
      </c>
    </row>
    <row r="521">
      <c r="B521" s="10" t="inlineStr">
        <is>
          <t>CHE</t>
        </is>
      </c>
      <c r="C521" s="10" t="inlineStr">
        <is>
          <t>VEH-CHE-021</t>
        </is>
      </c>
      <c r="D521" s="10" t="n">
        <v>11</v>
      </c>
      <c r="E521" s="10" t="inlineStr">
        <is>
          <t>ORD-CHE-001750</t>
        </is>
      </c>
      <c r="F521" s="10" t="inlineStr">
        <is>
          <t>FMCG_RETAIL</t>
        </is>
      </c>
      <c r="G521" s="10" t="inlineStr">
        <is>
          <t>West Chennai</t>
        </is>
      </c>
      <c r="H521" s="10" t="n">
        <v>279.35</v>
      </c>
      <c r="I521" s="10" t="n">
        <v>540</v>
      </c>
      <c r="J521" s="10" t="n">
        <v>780</v>
      </c>
      <c r="K521" s="12" t="n">
        <v>772</v>
      </c>
      <c r="L521" s="12" t="n">
        <v>0</v>
      </c>
      <c r="M521" s="10" t="inlineStr">
        <is>
          <t>Yes</t>
        </is>
      </c>
      <c r="N521" s="11" t="n">
        <v>3.349</v>
      </c>
      <c r="O521" s="11" t="n">
        <v>4.521</v>
      </c>
      <c r="P521" s="12" t="n">
        <v>9.4</v>
      </c>
    </row>
    <row r="522">
      <c r="B522" s="16" t="inlineStr">
        <is>
          <t>CHE</t>
        </is>
      </c>
      <c r="C522" s="16" t="inlineStr">
        <is>
          <t>VEH-CHE-021</t>
        </is>
      </c>
      <c r="D522" s="16" t="n">
        <v>12</v>
      </c>
      <c r="E522" s="16" t="inlineStr">
        <is>
          <t>ORD-CHE-001716</t>
        </is>
      </c>
      <c r="F522" s="16" t="inlineStr">
        <is>
          <t>ECOM_B2C</t>
        </is>
      </c>
      <c r="G522" s="16" t="inlineStr">
        <is>
          <t>West Chennai</t>
        </is>
      </c>
      <c r="H522" s="16" t="n">
        <v>6.89</v>
      </c>
      <c r="I522" s="16" t="n">
        <v>720</v>
      </c>
      <c r="J522" s="16" t="n">
        <v>900</v>
      </c>
      <c r="K522" s="18" t="n">
        <v>800.2</v>
      </c>
      <c r="L522" s="18" t="n">
        <v>0</v>
      </c>
      <c r="M522" s="16" t="inlineStr">
        <is>
          <t>Yes</t>
        </is>
      </c>
      <c r="N522" s="17" t="n">
        <v>3.014</v>
      </c>
      <c r="O522" s="17" t="n">
        <v>4.069</v>
      </c>
      <c r="P522" s="18" t="n">
        <v>8.4</v>
      </c>
    </row>
    <row r="523">
      <c r="B523" s="10" t="inlineStr">
        <is>
          <t>CHE</t>
        </is>
      </c>
      <c r="C523" s="10" t="inlineStr">
        <is>
          <t>VEH-CHE-021</t>
        </is>
      </c>
      <c r="D523" s="10" t="n">
        <v>13</v>
      </c>
      <c r="E523" s="10" t="inlineStr">
        <is>
          <t>ORD-CHE-001753</t>
        </is>
      </c>
      <c r="F523" s="10" t="inlineStr">
        <is>
          <t>FMCG_RETAIL</t>
        </is>
      </c>
      <c r="G523" s="10" t="inlineStr">
        <is>
          <t>West Chennai</t>
        </is>
      </c>
      <c r="H523" s="10" t="n">
        <v>131.54</v>
      </c>
      <c r="I523" s="10" t="n">
        <v>600</v>
      </c>
      <c r="J523" s="10" t="n">
        <v>960</v>
      </c>
      <c r="K523" s="12" t="n">
        <v>804.8</v>
      </c>
      <c r="L523" s="12" t="n">
        <v>0</v>
      </c>
      <c r="M523" s="10" t="inlineStr">
        <is>
          <t>Yes</t>
        </is>
      </c>
      <c r="N523" s="11" t="n">
        <v>0.209</v>
      </c>
      <c r="O523" s="11" t="n">
        <v>0.282</v>
      </c>
      <c r="P523" s="12" t="n">
        <v>0.6</v>
      </c>
    </row>
    <row r="524">
      <c r="B524" s="16" t="inlineStr">
        <is>
          <t>CHE</t>
        </is>
      </c>
      <c r="C524" s="16" t="inlineStr">
        <is>
          <t>VEH-CHE-021</t>
        </is>
      </c>
      <c r="D524" s="16" t="n">
        <v>14</v>
      </c>
      <c r="E524" s="16" t="inlineStr">
        <is>
          <t>ORD-CHE-001654</t>
        </is>
      </c>
      <c r="F524" s="16" t="inlineStr">
        <is>
          <t>ECOM_B2C</t>
        </is>
      </c>
      <c r="G524" s="16" t="inlineStr">
        <is>
          <t>West Chennai</t>
        </is>
      </c>
      <c r="H524" s="16" t="n">
        <v>2.08</v>
      </c>
      <c r="I524" s="16" t="n">
        <v>840</v>
      </c>
      <c r="J524" s="16" t="n">
        <v>960</v>
      </c>
      <c r="K524" s="18" t="n">
        <v>820.8</v>
      </c>
      <c r="L524" s="18" t="n">
        <v>0</v>
      </c>
      <c r="M524" s="16" t="inlineStr">
        <is>
          <t>Yes</t>
        </is>
      </c>
      <c r="N524" s="17" t="n">
        <v>0.498</v>
      </c>
      <c r="O524" s="17" t="n">
        <v>0.672</v>
      </c>
      <c r="P524" s="18" t="n">
        <v>1.4</v>
      </c>
    </row>
    <row r="525">
      <c r="B525" s="10" t="inlineStr">
        <is>
          <t>CHE</t>
        </is>
      </c>
      <c r="C525" s="10" t="inlineStr">
        <is>
          <t>VEH-CHE-021</t>
        </is>
      </c>
      <c r="D525" s="10" t="n">
        <v>15</v>
      </c>
      <c r="E525" s="10" t="inlineStr">
        <is>
          <t>ORD-CHE-001698</t>
        </is>
      </c>
      <c r="F525" s="10" t="inlineStr">
        <is>
          <t>ECOM_B2C</t>
        </is>
      </c>
      <c r="G525" s="10" t="inlineStr">
        <is>
          <t>West Chennai</t>
        </is>
      </c>
      <c r="H525" s="10" t="n">
        <v>3.04</v>
      </c>
      <c r="I525" s="10" t="n">
        <v>720</v>
      </c>
      <c r="J525" s="10" t="n">
        <v>900</v>
      </c>
      <c r="K525" s="12" t="n">
        <v>847.5</v>
      </c>
      <c r="L525" s="12" t="n">
        <v>0</v>
      </c>
      <c r="M525" s="10" t="inlineStr">
        <is>
          <t>Yes</t>
        </is>
      </c>
      <c r="N525" s="11" t="n">
        <v>1.241</v>
      </c>
      <c r="O525" s="11" t="n">
        <v>1.676</v>
      </c>
      <c r="P525" s="12" t="n">
        <v>3.5</v>
      </c>
    </row>
    <row r="526">
      <c r="B526" s="16" t="inlineStr">
        <is>
          <t>CHE</t>
        </is>
      </c>
      <c r="C526" s="16" t="inlineStr">
        <is>
          <t>VEH-CHE-021</t>
        </is>
      </c>
      <c r="D526" s="16" t="n">
        <v>16</v>
      </c>
      <c r="E526" s="16" t="inlineStr">
        <is>
          <t>ORD-CHE-001655</t>
        </is>
      </c>
      <c r="F526" s="16" t="inlineStr">
        <is>
          <t>ECOM_B2C</t>
        </is>
      </c>
      <c r="G526" s="16" t="inlineStr">
        <is>
          <t>North Chennai</t>
        </is>
      </c>
      <c r="H526" s="16" t="n">
        <v>0.66</v>
      </c>
      <c r="I526" s="16" t="n">
        <v>840</v>
      </c>
      <c r="J526" s="16" t="n">
        <v>960</v>
      </c>
      <c r="K526" s="18" t="n">
        <v>866.3</v>
      </c>
      <c r="L526" s="18" t="n">
        <v>0</v>
      </c>
      <c r="M526" s="16" t="inlineStr">
        <is>
          <t>Yes</t>
        </is>
      </c>
      <c r="N526" s="17" t="n">
        <v>5.175</v>
      </c>
      <c r="O526" s="17" t="n">
        <v>6.986</v>
      </c>
      <c r="P526" s="18" t="n">
        <v>14.8</v>
      </c>
    </row>
    <row r="527">
      <c r="B527" s="10" t="inlineStr">
        <is>
          <t>CHE</t>
        </is>
      </c>
      <c r="C527" s="10" t="inlineStr">
        <is>
          <t>VEH-CHE-021</t>
        </is>
      </c>
      <c r="D527" s="10" t="n">
        <v>17</v>
      </c>
      <c r="E527" s="10" t="inlineStr">
        <is>
          <t>ORD-CHE-001732</t>
        </is>
      </c>
      <c r="F527" s="10" t="inlineStr">
        <is>
          <t>ECOM_B2C</t>
        </is>
      </c>
      <c r="G527" s="10" t="inlineStr">
        <is>
          <t>North Chennai</t>
        </is>
      </c>
      <c r="H527" s="10" t="n">
        <v>1.04</v>
      </c>
      <c r="I527" s="10" t="n">
        <v>720</v>
      </c>
      <c r="J527" s="10" t="n">
        <v>900</v>
      </c>
      <c r="K527" s="12" t="n">
        <v>870.3</v>
      </c>
      <c r="L527" s="12" t="n">
        <v>0</v>
      </c>
      <c r="M527" s="10" t="inlineStr">
        <is>
          <t>Yes</t>
        </is>
      </c>
      <c r="N527" s="11" t="n">
        <v>0</v>
      </c>
      <c r="O527" s="11" t="n">
        <v>0</v>
      </c>
      <c r="P527" s="12" t="n">
        <v>0</v>
      </c>
    </row>
    <row r="528">
      <c r="B528" s="16" t="inlineStr">
        <is>
          <t>CHE</t>
        </is>
      </c>
      <c r="C528" s="16" t="inlineStr">
        <is>
          <t>VEH-CHE-021</t>
        </is>
      </c>
      <c r="D528" s="16" t="n">
        <v>18</v>
      </c>
      <c r="E528" s="16" t="inlineStr">
        <is>
          <t>ORD-CHE-001695</t>
        </is>
      </c>
      <c r="F528" s="16" t="inlineStr">
        <is>
          <t>ECOM_B2C</t>
        </is>
      </c>
      <c r="G528" s="16" t="inlineStr">
        <is>
          <t>North Chennai</t>
        </is>
      </c>
      <c r="H528" s="16" t="n">
        <v>2.81</v>
      </c>
      <c r="I528" s="16" t="n">
        <v>840</v>
      </c>
      <c r="J528" s="16" t="n">
        <v>960</v>
      </c>
      <c r="K528" s="18" t="n">
        <v>876.4</v>
      </c>
      <c r="L528" s="18" t="n">
        <v>0</v>
      </c>
      <c r="M528" s="16" t="inlineStr">
        <is>
          <t>Yes</t>
        </is>
      </c>
      <c r="N528" s="17" t="n">
        <v>0.739</v>
      </c>
      <c r="O528" s="17" t="n">
        <v>0.997</v>
      </c>
      <c r="P528" s="18" t="n">
        <v>2.1</v>
      </c>
    </row>
    <row r="529">
      <c r="B529" s="10" t="inlineStr">
        <is>
          <t>CHE</t>
        </is>
      </c>
      <c r="C529" s="10" t="inlineStr">
        <is>
          <t>VEH-CHE-022</t>
        </is>
      </c>
      <c r="D529" s="10" t="n">
        <v>1</v>
      </c>
      <c r="E529" s="10" t="inlineStr">
        <is>
          <t>ORD-CHE-001736</t>
        </is>
      </c>
      <c r="F529" s="10" t="inlineStr">
        <is>
          <t>FMCG_RETAIL</t>
        </is>
      </c>
      <c r="G529" s="10" t="inlineStr">
        <is>
          <t>West Chennai</t>
        </is>
      </c>
      <c r="H529" s="10" t="n">
        <v>75.76000000000001</v>
      </c>
      <c r="I529" s="10" t="n">
        <v>600</v>
      </c>
      <c r="J529" s="10" t="n">
        <v>960</v>
      </c>
      <c r="K529" s="12" t="n">
        <v>600</v>
      </c>
      <c r="L529" s="12" t="n">
        <v>0</v>
      </c>
      <c r="M529" s="10" t="inlineStr">
        <is>
          <t>Yes</t>
        </is>
      </c>
      <c r="N529" s="11" t="n">
        <v>8.917999999999999</v>
      </c>
      <c r="O529" s="11" t="n">
        <v>12.039</v>
      </c>
      <c r="P529" s="12" t="n">
        <v>40.8</v>
      </c>
    </row>
    <row r="530">
      <c r="B530" s="16" t="inlineStr">
        <is>
          <t>CHE</t>
        </is>
      </c>
      <c r="C530" s="16" t="inlineStr">
        <is>
          <t>VEH-CHE-022</t>
        </is>
      </c>
      <c r="D530" s="16" t="n">
        <v>2</v>
      </c>
      <c r="E530" s="16" t="inlineStr">
        <is>
          <t>ORD-CHE-001741</t>
        </is>
      </c>
      <c r="F530" s="16" t="inlineStr">
        <is>
          <t>FMCG_RETAIL</t>
        </is>
      </c>
      <c r="G530" s="16" t="inlineStr">
        <is>
          <t>West Chennai</t>
        </is>
      </c>
      <c r="H530" s="16" t="n">
        <v>85.63</v>
      </c>
      <c r="I530" s="16" t="n">
        <v>600</v>
      </c>
      <c r="J530" s="16" t="n">
        <v>960</v>
      </c>
      <c r="K530" s="18" t="n">
        <v>612.6</v>
      </c>
      <c r="L530" s="18" t="n">
        <v>0</v>
      </c>
      <c r="M530" s="16" t="inlineStr">
        <is>
          <t>Yes</t>
        </is>
      </c>
      <c r="N530" s="17" t="n">
        <v>0</v>
      </c>
      <c r="O530" s="17" t="n">
        <v>0</v>
      </c>
      <c r="P530" s="18" t="n">
        <v>0</v>
      </c>
    </row>
    <row r="531">
      <c r="B531" s="10" t="inlineStr">
        <is>
          <t>CHE</t>
        </is>
      </c>
      <c r="C531" s="10" t="inlineStr">
        <is>
          <t>VEH-CHE-022</t>
        </is>
      </c>
      <c r="D531" s="10" t="n">
        <v>3</v>
      </c>
      <c r="E531" s="10" t="inlineStr">
        <is>
          <t>ORD-CHE-001757</t>
        </is>
      </c>
      <c r="F531" s="10" t="inlineStr">
        <is>
          <t>FMCG_RETAIL</t>
        </is>
      </c>
      <c r="G531" s="10" t="inlineStr">
        <is>
          <t>West Chennai</t>
        </is>
      </c>
      <c r="H531" s="10" t="n">
        <v>232.06</v>
      </c>
      <c r="I531" s="10" t="n">
        <v>540</v>
      </c>
      <c r="J531" s="10" t="n">
        <v>780</v>
      </c>
      <c r="K531" s="12" t="n">
        <v>628.5</v>
      </c>
      <c r="L531" s="12" t="n">
        <v>0</v>
      </c>
      <c r="M531" s="10" t="inlineStr">
        <is>
          <t>Yes</t>
        </is>
      </c>
      <c r="N531" s="11" t="n">
        <v>0.632</v>
      </c>
      <c r="O531" s="11" t="n">
        <v>0.853</v>
      </c>
      <c r="P531" s="12" t="n">
        <v>2.9</v>
      </c>
    </row>
    <row r="532">
      <c r="B532" s="16" t="inlineStr">
        <is>
          <t>CHE</t>
        </is>
      </c>
      <c r="C532" s="16" t="inlineStr">
        <is>
          <t>VEH-CHE-022</t>
        </is>
      </c>
      <c r="D532" s="16" t="n">
        <v>4</v>
      </c>
      <c r="E532" s="16" t="inlineStr">
        <is>
          <t>ORD-CHE-001733</t>
        </is>
      </c>
      <c r="F532" s="16" t="inlineStr">
        <is>
          <t>FMCG_RETAIL</t>
        </is>
      </c>
      <c r="G532" s="16" t="inlineStr">
        <is>
          <t>South Chennai</t>
        </is>
      </c>
      <c r="H532" s="16" t="n">
        <v>131.16</v>
      </c>
      <c r="I532" s="16" t="n">
        <v>540</v>
      </c>
      <c r="J532" s="16" t="n">
        <v>780</v>
      </c>
      <c r="K532" s="18" t="n">
        <v>678.3</v>
      </c>
      <c r="L532" s="18" t="n">
        <v>0</v>
      </c>
      <c r="M532" s="16" t="inlineStr">
        <is>
          <t>Yes</t>
        </is>
      </c>
      <c r="N532" s="17" t="n">
        <v>6.903</v>
      </c>
      <c r="O532" s="17" t="n">
        <v>9.32</v>
      </c>
      <c r="P532" s="18" t="n">
        <v>31.6</v>
      </c>
    </row>
    <row r="533">
      <c r="B533" s="10" t="inlineStr">
        <is>
          <t>CHE</t>
        </is>
      </c>
      <c r="C533" s="10" t="inlineStr">
        <is>
          <t>VEH-CHE-022</t>
        </is>
      </c>
      <c r="D533" s="10" t="n">
        <v>5</v>
      </c>
      <c r="E533" s="10" t="inlineStr">
        <is>
          <t>ORD-CHE-001738</t>
        </is>
      </c>
      <c r="F533" s="10" t="inlineStr">
        <is>
          <t>FMCG_RETAIL</t>
        </is>
      </c>
      <c r="G533" s="10" t="inlineStr">
        <is>
          <t>Central Chennai</t>
        </is>
      </c>
      <c r="H533" s="10" t="n">
        <v>138.25</v>
      </c>
      <c r="I533" s="10" t="n">
        <v>840</v>
      </c>
      <c r="J533" s="10" t="n">
        <v>1080</v>
      </c>
      <c r="K533" s="12" t="n">
        <v>732.9</v>
      </c>
      <c r="L533" s="12" t="n">
        <v>0</v>
      </c>
      <c r="M533" s="10" t="inlineStr">
        <is>
          <t>Yes</t>
        </is>
      </c>
      <c r="N533" s="11" t="n">
        <v>13.827</v>
      </c>
      <c r="O533" s="11" t="n">
        <v>18.666</v>
      </c>
      <c r="P533" s="12" t="n">
        <v>40.1</v>
      </c>
    </row>
    <row r="534">
      <c r="B534" s="16" t="inlineStr">
        <is>
          <t>CHE</t>
        </is>
      </c>
      <c r="C534" s="16" t="inlineStr">
        <is>
          <t>VEH-CHE-022</t>
        </is>
      </c>
      <c r="D534" s="16" t="n">
        <v>6</v>
      </c>
      <c r="E534" s="16" t="inlineStr">
        <is>
          <t>ORD-CHE-001749</t>
        </is>
      </c>
      <c r="F534" s="16" t="inlineStr">
        <is>
          <t>FMCG_RETAIL</t>
        </is>
      </c>
      <c r="G534" s="16" t="inlineStr">
        <is>
          <t>Central Chennai</t>
        </is>
      </c>
      <c r="H534" s="16" t="n">
        <v>113.16</v>
      </c>
      <c r="I534" s="16" t="n">
        <v>840</v>
      </c>
      <c r="J534" s="16" t="n">
        <v>1080</v>
      </c>
      <c r="K534" s="18" t="n">
        <v>857.2</v>
      </c>
      <c r="L534" s="18" t="n">
        <v>0</v>
      </c>
      <c r="M534" s="16" t="inlineStr">
        <is>
          <t>Yes</t>
        </is>
      </c>
      <c r="N534" s="17" t="n">
        <v>0.804</v>
      </c>
      <c r="O534" s="17" t="n">
        <v>1.085</v>
      </c>
      <c r="P534" s="18" t="n">
        <v>2.3</v>
      </c>
    </row>
    <row r="535">
      <c r="B535" s="10" t="inlineStr">
        <is>
          <t>CHE</t>
        </is>
      </c>
      <c r="C535" s="10" t="inlineStr">
        <is>
          <t>VEH-CHE-022</t>
        </is>
      </c>
      <c r="D535" s="10" t="n">
        <v>7</v>
      </c>
      <c r="E535" s="10" t="inlineStr">
        <is>
          <t>ORD-CHE-001746</t>
        </is>
      </c>
      <c r="F535" s="10" t="inlineStr">
        <is>
          <t>FMCG_RETAIL</t>
        </is>
      </c>
      <c r="G535" s="10" t="inlineStr">
        <is>
          <t>Central Chennai</t>
        </is>
      </c>
      <c r="H535" s="10" t="n">
        <v>196.58</v>
      </c>
      <c r="I535" s="10" t="n">
        <v>840</v>
      </c>
      <c r="J535" s="10" t="n">
        <v>1080</v>
      </c>
      <c r="K535" s="12" t="n">
        <v>881.2</v>
      </c>
      <c r="L535" s="12" t="n">
        <v>0</v>
      </c>
      <c r="M535" s="10" t="inlineStr">
        <is>
          <t>Yes</t>
        </is>
      </c>
      <c r="N535" s="11" t="n">
        <v>3.487</v>
      </c>
      <c r="O535" s="11" t="n">
        <v>4.708</v>
      </c>
      <c r="P535" s="12" t="n">
        <v>10.1</v>
      </c>
    </row>
    <row r="536">
      <c r="B536" s="16" t="inlineStr">
        <is>
          <t>CHE</t>
        </is>
      </c>
      <c r="C536" s="16" t="inlineStr">
        <is>
          <t>VEH-CHE-022</t>
        </is>
      </c>
      <c r="D536" s="16" t="n">
        <v>8</v>
      </c>
      <c r="E536" s="16" t="inlineStr">
        <is>
          <t>ORD-CHE-001679</t>
        </is>
      </c>
      <c r="F536" s="16" t="inlineStr">
        <is>
          <t>ECOM_B2C</t>
        </is>
      </c>
      <c r="G536" s="16" t="inlineStr">
        <is>
          <t>West Chennai</t>
        </is>
      </c>
      <c r="H536" s="16" t="n">
        <v>2.11</v>
      </c>
      <c r="I536" s="16" t="n">
        <v>900</v>
      </c>
      <c r="J536" s="16" t="n">
        <v>1080</v>
      </c>
      <c r="K536" s="18" t="n">
        <v>909</v>
      </c>
      <c r="L536" s="18" t="n">
        <v>0</v>
      </c>
      <c r="M536" s="16" t="inlineStr">
        <is>
          <t>Yes</t>
        </is>
      </c>
      <c r="N536" s="17" t="n">
        <v>3.889</v>
      </c>
      <c r="O536" s="17" t="n">
        <v>5.25</v>
      </c>
      <c r="P536" s="18" t="n">
        <v>10.9</v>
      </c>
    </row>
    <row r="537">
      <c r="B537" s="10" t="inlineStr">
        <is>
          <t>CHE</t>
        </is>
      </c>
      <c r="C537" s="10" t="inlineStr">
        <is>
          <t>VEH-CHE-024</t>
        </is>
      </c>
      <c r="D537" s="10" t="n">
        <v>1</v>
      </c>
      <c r="E537" s="10" t="inlineStr">
        <is>
          <t>ORD-CHE-001612</t>
        </is>
      </c>
      <c r="F537" s="10" t="inlineStr">
        <is>
          <t>ECOM_B2C</t>
        </is>
      </c>
      <c r="G537" s="10" t="inlineStr">
        <is>
          <t>West Chennai</t>
        </is>
      </c>
      <c r="H537" s="10" t="n">
        <v>0.34</v>
      </c>
      <c r="I537" s="10" t="n">
        <v>1080</v>
      </c>
      <c r="J537" s="10" t="n">
        <v>1260</v>
      </c>
      <c r="K537" s="12" t="n">
        <v>1080</v>
      </c>
      <c r="L537" s="12" t="n">
        <v>0</v>
      </c>
      <c r="M537" s="10" t="inlineStr">
        <is>
          <t>Yes</t>
        </is>
      </c>
      <c r="N537" s="11" t="n">
        <v>6.388</v>
      </c>
      <c r="O537" s="11" t="n">
        <v>8.624000000000001</v>
      </c>
      <c r="P537" s="12" t="n">
        <v>33.3</v>
      </c>
    </row>
    <row r="538">
      <c r="B538" s="16" t="inlineStr">
        <is>
          <t>CHE</t>
        </is>
      </c>
      <c r="C538" s="16" t="inlineStr">
        <is>
          <t>VEH-CHE-024</t>
        </is>
      </c>
      <c r="D538" s="16" t="n">
        <v>2</v>
      </c>
      <c r="E538" s="16" t="inlineStr">
        <is>
          <t>ORD-CHE-001675</t>
        </is>
      </c>
      <c r="F538" s="16" t="inlineStr">
        <is>
          <t>ECOM_B2C</t>
        </is>
      </c>
      <c r="G538" s="16" t="inlineStr">
        <is>
          <t>West Chennai</t>
        </is>
      </c>
      <c r="H538" s="16" t="n">
        <v>3.81</v>
      </c>
      <c r="I538" s="16" t="n">
        <v>1080</v>
      </c>
      <c r="J538" s="16" t="n">
        <v>1260</v>
      </c>
      <c r="K538" s="18" t="n">
        <v>1089.8</v>
      </c>
      <c r="L538" s="18" t="n">
        <v>0</v>
      </c>
      <c r="M538" s="16" t="inlineStr">
        <is>
          <t>Yes</t>
        </is>
      </c>
      <c r="N538" s="17" t="n">
        <v>1.115</v>
      </c>
      <c r="O538" s="17" t="n">
        <v>1.505</v>
      </c>
      <c r="P538" s="18" t="n">
        <v>5.8</v>
      </c>
    </row>
    <row r="539">
      <c r="B539" s="10" t="inlineStr">
        <is>
          <t>CHE</t>
        </is>
      </c>
      <c r="C539" s="10" t="inlineStr">
        <is>
          <t>VEH-CHE-024</t>
        </is>
      </c>
      <c r="D539" s="10" t="n">
        <v>3</v>
      </c>
      <c r="E539" s="10" t="inlineStr">
        <is>
          <t>ORD-CHE-001613</t>
        </is>
      </c>
      <c r="F539" s="10" t="inlineStr">
        <is>
          <t>ECOM_B2C</t>
        </is>
      </c>
      <c r="G539" s="10" t="inlineStr">
        <is>
          <t>West Chennai</t>
        </is>
      </c>
      <c r="H539" s="10" t="n">
        <v>3.86</v>
      </c>
      <c r="I539" s="10" t="n">
        <v>1080</v>
      </c>
      <c r="J539" s="10" t="n">
        <v>1260</v>
      </c>
      <c r="K539" s="12" t="n">
        <v>1098</v>
      </c>
      <c r="L539" s="12" t="n">
        <v>0</v>
      </c>
      <c r="M539" s="10" t="inlineStr">
        <is>
          <t>Yes</t>
        </is>
      </c>
      <c r="N539" s="11" t="n">
        <v>0.805</v>
      </c>
      <c r="O539" s="11" t="n">
        <v>1.086</v>
      </c>
      <c r="P539" s="12" t="n">
        <v>4.2</v>
      </c>
    </row>
    <row r="540">
      <c r="B540" s="16" t="inlineStr">
        <is>
          <t>CHE</t>
        </is>
      </c>
      <c r="C540" s="16" t="inlineStr">
        <is>
          <t>VEH-CHE-024</t>
        </is>
      </c>
      <c r="D540" s="16" t="n">
        <v>4</v>
      </c>
      <c r="E540" s="16" t="inlineStr">
        <is>
          <t>ORD-CHE-001730</t>
        </is>
      </c>
      <c r="F540" s="16" t="inlineStr">
        <is>
          <t>ECOM_B2C</t>
        </is>
      </c>
      <c r="G540" s="16" t="inlineStr">
        <is>
          <t>North Chennai</t>
        </is>
      </c>
      <c r="H540" s="16" t="n">
        <v>9.039999999999999</v>
      </c>
      <c r="I540" s="16" t="n">
        <v>1080</v>
      </c>
      <c r="J540" s="16" t="n">
        <v>1200</v>
      </c>
      <c r="K540" s="18" t="n">
        <v>1122.9</v>
      </c>
      <c r="L540" s="18" t="n">
        <v>0</v>
      </c>
      <c r="M540" s="16" t="inlineStr">
        <is>
          <t>Yes</t>
        </is>
      </c>
      <c r="N540" s="17" t="n">
        <v>3.912</v>
      </c>
      <c r="O540" s="17" t="n">
        <v>5.281</v>
      </c>
      <c r="P540" s="18" t="n">
        <v>20.9</v>
      </c>
    </row>
    <row r="541">
      <c r="B541" s="10" t="inlineStr">
        <is>
          <t>CHE</t>
        </is>
      </c>
      <c r="C541" s="10" t="inlineStr">
        <is>
          <t>VEH-CHE-024</t>
        </is>
      </c>
      <c r="D541" s="10" t="n">
        <v>5</v>
      </c>
      <c r="E541" s="10" t="inlineStr">
        <is>
          <t>ORD-CHE-001625</t>
        </is>
      </c>
      <c r="F541" s="10" t="inlineStr">
        <is>
          <t>ECOM_B2C</t>
        </is>
      </c>
      <c r="G541" s="10" t="inlineStr">
        <is>
          <t>North Chennai</t>
        </is>
      </c>
      <c r="H541" s="10" t="n">
        <v>1.67</v>
      </c>
      <c r="I541" s="10" t="n">
        <v>1080</v>
      </c>
      <c r="J541" s="10" t="n">
        <v>1200</v>
      </c>
      <c r="K541" s="12" t="n">
        <v>1152</v>
      </c>
      <c r="L541" s="12" t="n">
        <v>0</v>
      </c>
      <c r="M541" s="10" t="inlineStr">
        <is>
          <t>Yes</t>
        </is>
      </c>
      <c r="N541" s="11" t="n">
        <v>4.695</v>
      </c>
      <c r="O541" s="11" t="n">
        <v>6.338</v>
      </c>
      <c r="P541" s="12" t="n">
        <v>25.1</v>
      </c>
    </row>
    <row r="542">
      <c r="B542" s="16" t="inlineStr">
        <is>
          <t>CHE</t>
        </is>
      </c>
      <c r="C542" s="16" t="inlineStr">
        <is>
          <t>VEH-CHE-024</t>
        </is>
      </c>
      <c r="D542" s="16" t="n">
        <v>6</v>
      </c>
      <c r="E542" s="16" t="inlineStr">
        <is>
          <t>ORD-CHE-001683</t>
        </is>
      </c>
      <c r="F542" s="16" t="inlineStr">
        <is>
          <t>ECOM_B2C</t>
        </is>
      </c>
      <c r="G542" s="16" t="inlineStr">
        <is>
          <t>North Chennai</t>
        </is>
      </c>
      <c r="H542" s="16" t="n">
        <v>2.11</v>
      </c>
      <c r="I542" s="16" t="n">
        <v>1080</v>
      </c>
      <c r="J542" s="16" t="n">
        <v>1260</v>
      </c>
      <c r="K542" s="18" t="n">
        <v>1159.8</v>
      </c>
      <c r="L542" s="18" t="n">
        <v>0</v>
      </c>
      <c r="M542" s="16" t="inlineStr">
        <is>
          <t>Yes</t>
        </is>
      </c>
      <c r="N542" s="17" t="n">
        <v>0.715</v>
      </c>
      <c r="O542" s="17" t="n">
        <v>0.966</v>
      </c>
      <c r="P542" s="18" t="n">
        <v>3.8</v>
      </c>
    </row>
    <row r="543">
      <c r="B543" s="10" t="inlineStr">
        <is>
          <t>CHE</t>
        </is>
      </c>
      <c r="C543" s="10" t="inlineStr">
        <is>
          <t>VEH-CHE-024</t>
        </is>
      </c>
      <c r="D543" s="10" t="n">
        <v>7</v>
      </c>
      <c r="E543" s="10" t="inlineStr">
        <is>
          <t>ORD-CHE-001639</t>
        </is>
      </c>
      <c r="F543" s="10" t="inlineStr">
        <is>
          <t>ECOM_B2C</t>
        </is>
      </c>
      <c r="G543" s="10" t="inlineStr">
        <is>
          <t>North Chennai</t>
        </is>
      </c>
      <c r="H543" s="10" t="n">
        <v>1.4</v>
      </c>
      <c r="I543" s="10" t="n">
        <v>1080</v>
      </c>
      <c r="J543" s="10" t="n">
        <v>1260</v>
      </c>
      <c r="K543" s="12" t="n">
        <v>1168.5</v>
      </c>
      <c r="L543" s="12" t="n">
        <v>0</v>
      </c>
      <c r="M543" s="10" t="inlineStr">
        <is>
          <t>Yes</t>
        </is>
      </c>
      <c r="N543" s="11" t="n">
        <v>0.884</v>
      </c>
      <c r="O543" s="11" t="n">
        <v>1.193</v>
      </c>
      <c r="P543" s="12" t="n">
        <v>4.7</v>
      </c>
    </row>
    <row r="544">
      <c r="B544" s="16" t="inlineStr">
        <is>
          <t>CHE</t>
        </is>
      </c>
      <c r="C544" s="16" t="inlineStr">
        <is>
          <t>VEH-CHE-024</t>
        </is>
      </c>
      <c r="D544" s="16" t="n">
        <v>8</v>
      </c>
      <c r="E544" s="16" t="inlineStr">
        <is>
          <t>ORD-CHE-001693</t>
        </is>
      </c>
      <c r="F544" s="16" t="inlineStr">
        <is>
          <t>ECOM_B2C</t>
        </is>
      </c>
      <c r="G544" s="16" t="inlineStr">
        <is>
          <t>North Chennai</t>
        </is>
      </c>
      <c r="H544" s="16" t="n">
        <v>4.51</v>
      </c>
      <c r="I544" s="16" t="n">
        <v>1080</v>
      </c>
      <c r="J544" s="16" t="n">
        <v>1200</v>
      </c>
      <c r="K544" s="18" t="n">
        <v>1172.5</v>
      </c>
      <c r="L544" s="18" t="n">
        <v>0</v>
      </c>
      <c r="M544" s="16" t="inlineStr">
        <is>
          <t>Yes</t>
        </is>
      </c>
      <c r="N544" s="17" t="n">
        <v>0</v>
      </c>
      <c r="O544" s="17" t="n">
        <v>0</v>
      </c>
      <c r="P544" s="18" t="n">
        <v>0</v>
      </c>
    </row>
    <row r="545">
      <c r="B545" s="10" t="inlineStr">
        <is>
          <t>CHE</t>
        </is>
      </c>
      <c r="C545" s="10" t="inlineStr">
        <is>
          <t>VEH-CHE-024</t>
        </is>
      </c>
      <c r="D545" s="10" t="n">
        <v>9</v>
      </c>
      <c r="E545" s="10" t="inlineStr">
        <is>
          <t>ORD-CHE-001688</t>
        </is>
      </c>
      <c r="F545" s="10" t="inlineStr">
        <is>
          <t>ECOM_B2C</t>
        </is>
      </c>
      <c r="G545" s="10" t="inlineStr">
        <is>
          <t>North Chennai</t>
        </is>
      </c>
      <c r="H545" s="10" t="n">
        <v>3.02</v>
      </c>
      <c r="I545" s="10" t="n">
        <v>1080</v>
      </c>
      <c r="J545" s="10" t="n">
        <v>1260</v>
      </c>
      <c r="K545" s="12" t="n">
        <v>1180.6</v>
      </c>
      <c r="L545" s="12" t="n">
        <v>0</v>
      </c>
      <c r="M545" s="10" t="inlineStr">
        <is>
          <t>Yes</t>
        </is>
      </c>
      <c r="N545" s="11" t="n">
        <v>0.764</v>
      </c>
      <c r="O545" s="11" t="n">
        <v>1.031</v>
      </c>
      <c r="P545" s="12" t="n">
        <v>4.1</v>
      </c>
    </row>
    <row r="546">
      <c r="B546" s="16" t="inlineStr">
        <is>
          <t>CHE</t>
        </is>
      </c>
      <c r="C546" s="16" t="inlineStr">
        <is>
          <t>VEH-CHE-024</t>
        </is>
      </c>
      <c r="D546" s="16" t="n">
        <v>10</v>
      </c>
      <c r="E546" s="16" t="inlineStr">
        <is>
          <t>ORD-CHE-001647</t>
        </is>
      </c>
      <c r="F546" s="16" t="inlineStr">
        <is>
          <t>ECOM_B2C</t>
        </is>
      </c>
      <c r="G546" s="16" t="inlineStr">
        <is>
          <t>North Chennai</t>
        </is>
      </c>
      <c r="H546" s="16" t="n">
        <v>2.35</v>
      </c>
      <c r="I546" s="16" t="n">
        <v>1080</v>
      </c>
      <c r="J546" s="16" t="n">
        <v>1260</v>
      </c>
      <c r="K546" s="18" t="n">
        <v>1215.8</v>
      </c>
      <c r="L546" s="18" t="n">
        <v>0</v>
      </c>
      <c r="M546" s="16" t="inlineStr">
        <is>
          <t>Yes</t>
        </is>
      </c>
      <c r="N546" s="17" t="n">
        <v>5.832</v>
      </c>
      <c r="O546" s="17" t="n">
        <v>7.873</v>
      </c>
      <c r="P546" s="18" t="n">
        <v>31.2</v>
      </c>
    </row>
    <row r="547">
      <c r="B547" s="10" t="inlineStr">
        <is>
          <t>CHE</t>
        </is>
      </c>
      <c r="C547" s="10" t="inlineStr">
        <is>
          <t>VEH-CHE-024</t>
        </is>
      </c>
      <c r="D547" s="10" t="n">
        <v>11</v>
      </c>
      <c r="E547" s="10" t="inlineStr">
        <is>
          <t>ORD-CHE-001674</t>
        </is>
      </c>
      <c r="F547" s="10" t="inlineStr">
        <is>
          <t>ECOM_B2C</t>
        </is>
      </c>
      <c r="G547" s="10" t="inlineStr">
        <is>
          <t>North Chennai</t>
        </is>
      </c>
      <c r="H547" s="10" t="n">
        <v>1.69</v>
      </c>
      <c r="I547" s="10" t="n">
        <v>1080</v>
      </c>
      <c r="J547" s="10" t="n">
        <v>1260</v>
      </c>
      <c r="K547" s="12" t="n">
        <v>1233.2</v>
      </c>
      <c r="L547" s="12" t="n">
        <v>0</v>
      </c>
      <c r="M547" s="10" t="inlineStr">
        <is>
          <t>Yes</t>
        </is>
      </c>
      <c r="N547" s="11" t="n">
        <v>2.518</v>
      </c>
      <c r="O547" s="11" t="n">
        <v>3.4</v>
      </c>
      <c r="P547" s="12" t="n">
        <v>13.5</v>
      </c>
    </row>
    <row r="548">
      <c r="B548" s="16" t="inlineStr">
        <is>
          <t>DEL</t>
        </is>
      </c>
      <c r="C548" s="16" t="inlineStr">
        <is>
          <t>VEH-DEL-001</t>
        </is>
      </c>
      <c r="D548" s="16" t="n">
        <v>1</v>
      </c>
      <c r="E548" s="16" t="inlineStr">
        <is>
          <t>ORD-DEL-002495</t>
        </is>
      </c>
      <c r="F548" s="16" t="inlineStr">
        <is>
          <t>ECOM_B2C</t>
        </is>
      </c>
      <c r="G548" s="16" t="inlineStr">
        <is>
          <t>Gurugram</t>
        </is>
      </c>
      <c r="H548" s="16" t="n">
        <v>4.37</v>
      </c>
      <c r="I548" s="16" t="n">
        <v>540</v>
      </c>
      <c r="J548" s="16" t="n">
        <v>720</v>
      </c>
      <c r="K548" s="18" t="n">
        <v>494.9</v>
      </c>
      <c r="L548" s="18" t="n">
        <v>0</v>
      </c>
      <c r="M548" s="16" t="inlineStr">
        <is>
          <t>Yes</t>
        </is>
      </c>
      <c r="N548" s="17" t="n">
        <v>19.46</v>
      </c>
      <c r="O548" s="17" t="n">
        <v>26.271</v>
      </c>
      <c r="P548" s="18" t="n">
        <v>56.3</v>
      </c>
    </row>
    <row r="549">
      <c r="B549" s="10" t="inlineStr">
        <is>
          <t>DEL</t>
        </is>
      </c>
      <c r="C549" s="10" t="inlineStr">
        <is>
          <t>VEH-DEL-001</t>
        </is>
      </c>
      <c r="D549" s="10" t="n">
        <v>2</v>
      </c>
      <c r="E549" s="10" t="inlineStr">
        <is>
          <t>ORD-DEL-002488</t>
        </is>
      </c>
      <c r="F549" s="10" t="inlineStr">
        <is>
          <t>ECOM_B2C</t>
        </is>
      </c>
      <c r="G549" s="10" t="inlineStr">
        <is>
          <t>Gurugram</t>
        </is>
      </c>
      <c r="H549" s="10" t="n">
        <v>1.64</v>
      </c>
      <c r="I549" s="10" t="n">
        <v>540</v>
      </c>
      <c r="J549" s="10" t="n">
        <v>720</v>
      </c>
      <c r="K549" s="12" t="n">
        <v>549.6</v>
      </c>
      <c r="L549" s="12" t="n">
        <v>0</v>
      </c>
      <c r="M549" s="10" t="inlineStr">
        <is>
          <t>Yes</t>
        </is>
      </c>
      <c r="N549" s="11" t="n">
        <v>1.066</v>
      </c>
      <c r="O549" s="11" t="n">
        <v>1.439</v>
      </c>
      <c r="P549" s="12" t="n">
        <v>5.6</v>
      </c>
    </row>
    <row r="550">
      <c r="B550" s="16" t="inlineStr">
        <is>
          <t>DEL</t>
        </is>
      </c>
      <c r="C550" s="16" t="inlineStr">
        <is>
          <t>VEH-DEL-001</t>
        </is>
      </c>
      <c r="D550" s="16" t="n">
        <v>3</v>
      </c>
      <c r="E550" s="16" t="inlineStr">
        <is>
          <t>ORD-DEL-002633</t>
        </is>
      </c>
      <c r="F550" s="16" t="inlineStr">
        <is>
          <t>MODERN_RETAIL</t>
        </is>
      </c>
      <c r="G550" s="16" t="inlineStr">
        <is>
          <t>South Delhi</t>
        </is>
      </c>
      <c r="H550" s="16" t="n">
        <v>160.17</v>
      </c>
      <c r="I550" s="16" t="n">
        <v>480</v>
      </c>
      <c r="J550" s="16" t="n">
        <v>720</v>
      </c>
      <c r="K550" s="18" t="n">
        <v>645.8</v>
      </c>
      <c r="L550" s="18" t="n">
        <v>0</v>
      </c>
      <c r="M550" s="16" t="inlineStr">
        <is>
          <t>Yes</t>
        </is>
      </c>
      <c r="N550" s="17" t="n">
        <v>17.693</v>
      </c>
      <c r="O550" s="17" t="n">
        <v>23.886</v>
      </c>
      <c r="P550" s="18" t="n">
        <v>92.2</v>
      </c>
    </row>
    <row r="551">
      <c r="B551" s="10" t="inlineStr">
        <is>
          <t>DEL</t>
        </is>
      </c>
      <c r="C551" s="10" t="inlineStr">
        <is>
          <t>VEH-DEL-001</t>
        </is>
      </c>
      <c r="D551" s="10" t="n">
        <v>4</v>
      </c>
      <c r="E551" s="10" t="inlineStr">
        <is>
          <t>ORD-DEL-002622</t>
        </is>
      </c>
      <c r="F551" s="10" t="inlineStr">
        <is>
          <t>MODERN_RETAIL</t>
        </is>
      </c>
      <c r="G551" s="10" t="inlineStr">
        <is>
          <t>South Delhi</t>
        </is>
      </c>
      <c r="H551" s="10" t="n">
        <v>134.75</v>
      </c>
      <c r="I551" s="10" t="n">
        <v>480</v>
      </c>
      <c r="J551" s="10" t="n">
        <v>720</v>
      </c>
      <c r="K551" s="12" t="n">
        <v>661.4</v>
      </c>
      <c r="L551" s="12" t="n">
        <v>0</v>
      </c>
      <c r="M551" s="10" t="inlineStr">
        <is>
          <t>Yes</t>
        </is>
      </c>
      <c r="N551" s="11" t="n">
        <v>0</v>
      </c>
      <c r="O551" s="11" t="n">
        <v>0</v>
      </c>
      <c r="P551" s="12" t="n">
        <v>0</v>
      </c>
    </row>
    <row r="552">
      <c r="B552" s="16" t="inlineStr">
        <is>
          <t>DEL</t>
        </is>
      </c>
      <c r="C552" s="16" t="inlineStr">
        <is>
          <t>VEH-DEL-001</t>
        </is>
      </c>
      <c r="D552" s="16" t="n">
        <v>5</v>
      </c>
      <c r="E552" s="16" t="inlineStr">
        <is>
          <t>ORD-DEL-002621</t>
        </is>
      </c>
      <c r="F552" s="16" t="inlineStr">
        <is>
          <t>MODERN_RETAIL</t>
        </is>
      </c>
      <c r="G552" s="16" t="inlineStr">
        <is>
          <t>South Delhi</t>
        </is>
      </c>
      <c r="H552" s="16" t="n">
        <v>195.69</v>
      </c>
      <c r="I552" s="16" t="n">
        <v>480</v>
      </c>
      <c r="J552" s="16" t="n">
        <v>720</v>
      </c>
      <c r="K552" s="18" t="n">
        <v>676.1</v>
      </c>
      <c r="L552" s="18" t="n">
        <v>0</v>
      </c>
      <c r="M552" s="16" t="inlineStr">
        <is>
          <t>Yes</t>
        </is>
      </c>
      <c r="N552" s="17" t="n">
        <v>0</v>
      </c>
      <c r="O552" s="17" t="n">
        <v>0</v>
      </c>
      <c r="P552" s="18" t="n">
        <v>0</v>
      </c>
    </row>
    <row r="553">
      <c r="B553" s="10" t="inlineStr">
        <is>
          <t>DEL</t>
        </is>
      </c>
      <c r="C553" s="10" t="inlineStr">
        <is>
          <t>VEH-DEL-001</t>
        </is>
      </c>
      <c r="D553" s="10" t="n">
        <v>6</v>
      </c>
      <c r="E553" s="10" t="inlineStr">
        <is>
          <t>ORD-DEL-002650</t>
        </is>
      </c>
      <c r="F553" s="10" t="inlineStr">
        <is>
          <t>AUTOMOTIVE</t>
        </is>
      </c>
      <c r="G553" s="10" t="inlineStr">
        <is>
          <t>South Delhi</t>
        </is>
      </c>
      <c r="H553" s="10" t="n">
        <v>138.2</v>
      </c>
      <c r="I553" s="10" t="n">
        <v>480</v>
      </c>
      <c r="J553" s="10" t="n">
        <v>720</v>
      </c>
      <c r="K553" s="12" t="n">
        <v>706.7</v>
      </c>
      <c r="L553" s="12" t="n">
        <v>0</v>
      </c>
      <c r="M553" s="10" t="inlineStr">
        <is>
          <t>Yes</t>
        </is>
      </c>
      <c r="N553" s="11" t="n">
        <v>4.315</v>
      </c>
      <c r="O553" s="11" t="n">
        <v>5.826</v>
      </c>
      <c r="P553" s="12" t="n">
        <v>13.7</v>
      </c>
    </row>
    <row r="554">
      <c r="B554" s="16" t="inlineStr">
        <is>
          <t>DEL</t>
        </is>
      </c>
      <c r="C554" s="16" t="inlineStr">
        <is>
          <t>VEH-DEL-001</t>
        </is>
      </c>
      <c r="D554" s="16" t="n">
        <v>7</v>
      </c>
      <c r="E554" s="16" t="inlineStr">
        <is>
          <t>ORD-DEL-002651</t>
        </is>
      </c>
      <c r="F554" s="16" t="inlineStr">
        <is>
          <t>AUTOMOTIVE</t>
        </is>
      </c>
      <c r="G554" s="16" t="inlineStr">
        <is>
          <t>South Delhi</t>
        </is>
      </c>
      <c r="H554" s="16" t="n">
        <v>41.06</v>
      </c>
      <c r="I554" s="16" t="n">
        <v>660</v>
      </c>
      <c r="J554" s="16" t="n">
        <v>900</v>
      </c>
      <c r="K554" s="18" t="n">
        <v>730.3</v>
      </c>
      <c r="L554" s="18" t="n">
        <v>0</v>
      </c>
      <c r="M554" s="16" t="inlineStr">
        <is>
          <t>Yes</t>
        </is>
      </c>
      <c r="N554" s="17" t="n">
        <v>2.752</v>
      </c>
      <c r="O554" s="17" t="n">
        <v>3.716</v>
      </c>
      <c r="P554" s="18" t="n">
        <v>8.800000000000001</v>
      </c>
    </row>
    <row r="555">
      <c r="B555" s="10" t="inlineStr">
        <is>
          <t>DEL</t>
        </is>
      </c>
      <c r="C555" s="10" t="inlineStr">
        <is>
          <t>VEH-DEL-001</t>
        </is>
      </c>
      <c r="D555" s="10" t="n">
        <v>8</v>
      </c>
      <c r="E555" s="10" t="inlineStr">
        <is>
          <t>ORD-DEL-002632</t>
        </is>
      </c>
      <c r="F555" s="10" t="inlineStr">
        <is>
          <t>MODERN_RETAIL</t>
        </is>
      </c>
      <c r="G555" s="10" t="inlineStr">
        <is>
          <t>West Delhi</t>
        </is>
      </c>
      <c r="H555" s="10" t="n">
        <v>96.2</v>
      </c>
      <c r="I555" s="10" t="n">
        <v>600</v>
      </c>
      <c r="J555" s="10" t="n">
        <v>900</v>
      </c>
      <c r="K555" s="12" t="n">
        <v>795.3</v>
      </c>
      <c r="L555" s="12" t="n">
        <v>0</v>
      </c>
      <c r="M555" s="10" t="inlineStr">
        <is>
          <t>Yes</t>
        </is>
      </c>
      <c r="N555" s="11" t="n">
        <v>16.574</v>
      </c>
      <c r="O555" s="11" t="n">
        <v>22.375</v>
      </c>
      <c r="P555" s="12" t="n">
        <v>53.6</v>
      </c>
    </row>
    <row r="556">
      <c r="B556" s="16" t="inlineStr">
        <is>
          <t>DEL</t>
        </is>
      </c>
      <c r="C556" s="16" t="inlineStr">
        <is>
          <t>VEH-DEL-001</t>
        </is>
      </c>
      <c r="D556" s="16" t="n">
        <v>9</v>
      </c>
      <c r="E556" s="16" t="inlineStr">
        <is>
          <t>ORD-DEL-002617</t>
        </is>
      </c>
      <c r="F556" s="16" t="inlineStr">
        <is>
          <t>MODERN_RETAIL</t>
        </is>
      </c>
      <c r="G556" s="16" t="inlineStr">
        <is>
          <t>West Delhi</t>
        </is>
      </c>
      <c r="H556" s="16" t="n">
        <v>170.44</v>
      </c>
      <c r="I556" s="16" t="n">
        <v>840</v>
      </c>
      <c r="J556" s="16" t="n">
        <v>1080</v>
      </c>
      <c r="K556" s="18" t="n">
        <v>810.3</v>
      </c>
      <c r="L556" s="18" t="n">
        <v>0</v>
      </c>
      <c r="M556" s="16" t="inlineStr">
        <is>
          <t>Yes</t>
        </is>
      </c>
      <c r="N556" s="17" t="n">
        <v>0.518</v>
      </c>
      <c r="O556" s="17" t="n">
        <v>0.699</v>
      </c>
      <c r="P556" s="18" t="n">
        <v>1.7</v>
      </c>
    </row>
    <row r="557">
      <c r="B557" s="10" t="inlineStr">
        <is>
          <t>DEL</t>
        </is>
      </c>
      <c r="C557" s="10" t="inlineStr">
        <is>
          <t>VEH-DEL-001</t>
        </is>
      </c>
      <c r="D557" s="10" t="n">
        <v>10</v>
      </c>
      <c r="E557" s="10" t="inlineStr">
        <is>
          <t>ORD-DEL-002616</t>
        </is>
      </c>
      <c r="F557" s="10" t="inlineStr">
        <is>
          <t>MODERN_RETAIL</t>
        </is>
      </c>
      <c r="G557" s="10" t="inlineStr">
        <is>
          <t>West Delhi</t>
        </is>
      </c>
      <c r="H557" s="10" t="n">
        <v>249.88</v>
      </c>
      <c r="I557" s="10" t="n">
        <v>600</v>
      </c>
      <c r="J557" s="10" t="n">
        <v>900</v>
      </c>
      <c r="K557" s="12" t="n">
        <v>861.1</v>
      </c>
      <c r="L557" s="12" t="n">
        <v>0</v>
      </c>
      <c r="M557" s="10" t="inlineStr">
        <is>
          <t>Yes</t>
        </is>
      </c>
      <c r="N557" s="11" t="n">
        <v>1.578</v>
      </c>
      <c r="O557" s="11" t="n">
        <v>2.13</v>
      </c>
      <c r="P557" s="12" t="n">
        <v>5.1</v>
      </c>
    </row>
    <row r="558">
      <c r="B558" s="16" t="inlineStr">
        <is>
          <t>DEL</t>
        </is>
      </c>
      <c r="C558" s="16" t="inlineStr">
        <is>
          <t>VEH-DEL-002</t>
        </is>
      </c>
      <c r="D558" s="16" t="n">
        <v>1</v>
      </c>
      <c r="E558" s="16" t="inlineStr">
        <is>
          <t>ORD-DEL-002639</t>
        </is>
      </c>
      <c r="F558" s="16" t="inlineStr">
        <is>
          <t>AUTOMOTIVE</t>
        </is>
      </c>
      <c r="G558" s="16" t="inlineStr">
        <is>
          <t>Gurugram</t>
        </is>
      </c>
      <c r="H558" s="16" t="n">
        <v>57.51</v>
      </c>
      <c r="I558" s="16" t="n">
        <v>480</v>
      </c>
      <c r="J558" s="16" t="n">
        <v>720</v>
      </c>
      <c r="K558" s="18" t="n">
        <v>504.8</v>
      </c>
      <c r="L558" s="18" t="n">
        <v>0</v>
      </c>
      <c r="M558" s="16" t="inlineStr">
        <is>
          <t>Yes</t>
        </is>
      </c>
      <c r="N558" s="17" t="n">
        <v>29.309</v>
      </c>
      <c r="O558" s="17" t="n">
        <v>39.567</v>
      </c>
      <c r="P558" s="18" t="n">
        <v>84.8</v>
      </c>
    </row>
    <row r="559">
      <c r="B559" s="10" t="inlineStr">
        <is>
          <t>DEL</t>
        </is>
      </c>
      <c r="C559" s="10" t="inlineStr">
        <is>
          <t>VEH-DEL-002</t>
        </is>
      </c>
      <c r="D559" s="10" t="n">
        <v>2</v>
      </c>
      <c r="E559" s="10" t="inlineStr">
        <is>
          <t>ORD-DEL-002658</t>
        </is>
      </c>
      <c r="F559" s="10" t="inlineStr">
        <is>
          <t>AUTOMOTIVE</t>
        </is>
      </c>
      <c r="G559" s="10" t="inlineStr">
        <is>
          <t>Gurugram</t>
        </is>
      </c>
      <c r="H559" s="10" t="n">
        <v>78.65000000000001</v>
      </c>
      <c r="I559" s="10" t="n">
        <v>480</v>
      </c>
      <c r="J559" s="10" t="n">
        <v>600</v>
      </c>
      <c r="K559" s="12" t="n">
        <v>516.8</v>
      </c>
      <c r="L559" s="12" t="n">
        <v>0</v>
      </c>
      <c r="M559" s="10" t="inlineStr">
        <is>
          <t>Yes</t>
        </is>
      </c>
      <c r="N559" s="11" t="n">
        <v>0</v>
      </c>
      <c r="O559" s="11" t="n">
        <v>0</v>
      </c>
      <c r="P559" s="12" t="n">
        <v>0</v>
      </c>
    </row>
    <row r="560">
      <c r="B560" s="16" t="inlineStr">
        <is>
          <t>DEL</t>
        </is>
      </c>
      <c r="C560" s="16" t="inlineStr">
        <is>
          <t>VEH-DEL-002</t>
        </is>
      </c>
      <c r="D560" s="16" t="n">
        <v>3</v>
      </c>
      <c r="E560" s="16" t="inlineStr">
        <is>
          <t>ORD-DEL-002654</t>
        </is>
      </c>
      <c r="F560" s="16" t="inlineStr">
        <is>
          <t>AUTOMOTIVE</t>
        </is>
      </c>
      <c r="G560" s="16" t="inlineStr">
        <is>
          <t>Gurugram</t>
        </is>
      </c>
      <c r="H560" s="16" t="n">
        <v>182.24</v>
      </c>
      <c r="I560" s="16" t="n">
        <v>480</v>
      </c>
      <c r="J560" s="16" t="n">
        <v>720</v>
      </c>
      <c r="K560" s="18" t="n">
        <v>529.6</v>
      </c>
      <c r="L560" s="18" t="n">
        <v>0</v>
      </c>
      <c r="M560" s="16" t="inlineStr">
        <is>
          <t>Yes</t>
        </is>
      </c>
      <c r="N560" s="17" t="n">
        <v>0</v>
      </c>
      <c r="O560" s="17" t="n">
        <v>0</v>
      </c>
      <c r="P560" s="18" t="n">
        <v>0</v>
      </c>
    </row>
    <row r="561">
      <c r="B561" s="10" t="inlineStr">
        <is>
          <t>DEL</t>
        </is>
      </c>
      <c r="C561" s="10" t="inlineStr">
        <is>
          <t>VEH-DEL-002</t>
        </is>
      </c>
      <c r="D561" s="10" t="n">
        <v>4</v>
      </c>
      <c r="E561" s="10" t="inlineStr">
        <is>
          <t>ORD-DEL-002627</t>
        </is>
      </c>
      <c r="F561" s="10" t="inlineStr">
        <is>
          <t>MODERN_RETAIL</t>
        </is>
      </c>
      <c r="G561" s="10" t="inlineStr">
        <is>
          <t>Gurugram</t>
        </is>
      </c>
      <c r="H561" s="10" t="n">
        <v>202.2</v>
      </c>
      <c r="I561" s="10" t="n">
        <v>480</v>
      </c>
      <c r="J561" s="10" t="n">
        <v>720</v>
      </c>
      <c r="K561" s="12" t="n">
        <v>552.9</v>
      </c>
      <c r="L561" s="12" t="n">
        <v>0</v>
      </c>
      <c r="M561" s="10" t="inlineStr">
        <is>
          <t>Yes</t>
        </is>
      </c>
      <c r="N561" s="11" t="n">
        <v>1.335</v>
      </c>
      <c r="O561" s="11" t="n">
        <v>1.803</v>
      </c>
      <c r="P561" s="12" t="n">
        <v>7</v>
      </c>
    </row>
    <row r="562">
      <c r="B562" s="16" t="inlineStr">
        <is>
          <t>DEL</t>
        </is>
      </c>
      <c r="C562" s="16" t="inlineStr">
        <is>
          <t>VEH-DEL-002</t>
        </is>
      </c>
      <c r="D562" s="16" t="n">
        <v>5</v>
      </c>
      <c r="E562" s="16" t="inlineStr">
        <is>
          <t>ORD-DEL-002643</t>
        </is>
      </c>
      <c r="F562" s="16" t="inlineStr">
        <is>
          <t>AUTOMOTIVE</t>
        </is>
      </c>
      <c r="G562" s="16" t="inlineStr">
        <is>
          <t>Gurugram</t>
        </is>
      </c>
      <c r="H562" s="16" t="n">
        <v>30.32</v>
      </c>
      <c r="I562" s="16" t="n">
        <v>480</v>
      </c>
      <c r="J562" s="16" t="n">
        <v>720</v>
      </c>
      <c r="K562" s="18" t="n">
        <v>575.9</v>
      </c>
      <c r="L562" s="18" t="n">
        <v>0</v>
      </c>
      <c r="M562" s="16" t="inlineStr">
        <is>
          <t>Yes</t>
        </is>
      </c>
      <c r="N562" s="17" t="n">
        <v>1.139</v>
      </c>
      <c r="O562" s="17" t="n">
        <v>1.537</v>
      </c>
      <c r="P562" s="18" t="n">
        <v>5.9</v>
      </c>
    </row>
    <row r="563">
      <c r="B563" s="10" t="inlineStr">
        <is>
          <t>DEL</t>
        </is>
      </c>
      <c r="C563" s="10" t="inlineStr">
        <is>
          <t>VEH-DEL-002</t>
        </is>
      </c>
      <c r="D563" s="10" t="n">
        <v>6</v>
      </c>
      <c r="E563" s="10" t="inlineStr">
        <is>
          <t>ORD-DEL-002612</t>
        </is>
      </c>
      <c r="F563" s="10" t="inlineStr">
        <is>
          <t>MODERN_RETAIL</t>
        </is>
      </c>
      <c r="G563" s="10" t="inlineStr">
        <is>
          <t>Gurugram</t>
        </is>
      </c>
      <c r="H563" s="10" t="n">
        <v>102.56</v>
      </c>
      <c r="I563" s="10" t="n">
        <v>600</v>
      </c>
      <c r="J563" s="10" t="n">
        <v>900</v>
      </c>
      <c r="K563" s="12" t="n">
        <v>590.5</v>
      </c>
      <c r="L563" s="12" t="n">
        <v>0</v>
      </c>
      <c r="M563" s="10" t="inlineStr">
        <is>
          <t>Yes</t>
        </is>
      </c>
      <c r="N563" s="11" t="n">
        <v>0.67</v>
      </c>
      <c r="O563" s="11" t="n">
        <v>0.905</v>
      </c>
      <c r="P563" s="12" t="n">
        <v>3.5</v>
      </c>
    </row>
    <row r="564">
      <c r="B564" s="16" t="inlineStr">
        <is>
          <t>DEL</t>
        </is>
      </c>
      <c r="C564" s="16" t="inlineStr">
        <is>
          <t>VEH-DEL-002</t>
        </is>
      </c>
      <c r="D564" s="16" t="n">
        <v>7</v>
      </c>
      <c r="E564" s="16" t="inlineStr">
        <is>
          <t>ORD-DEL-002630</t>
        </is>
      </c>
      <c r="F564" s="16" t="inlineStr">
        <is>
          <t>MODERN_RETAIL</t>
        </is>
      </c>
      <c r="G564" s="16" t="inlineStr">
        <is>
          <t>Gurugram</t>
        </is>
      </c>
      <c r="H564" s="16" t="n">
        <v>161.58</v>
      </c>
      <c r="I564" s="16" t="n">
        <v>600</v>
      </c>
      <c r="J564" s="16" t="n">
        <v>900</v>
      </c>
      <c r="K564" s="18" t="n">
        <v>649.8</v>
      </c>
      <c r="L564" s="18" t="n">
        <v>0</v>
      </c>
      <c r="M564" s="16" t="inlineStr">
        <is>
          <t>Yes</t>
        </is>
      </c>
      <c r="N564" s="17" t="n">
        <v>6.949</v>
      </c>
      <c r="O564" s="17" t="n">
        <v>9.381</v>
      </c>
      <c r="P564" s="18" t="n">
        <v>36.2</v>
      </c>
    </row>
    <row r="565">
      <c r="B565" s="10" t="inlineStr">
        <is>
          <t>DEL</t>
        </is>
      </c>
      <c r="C565" s="10" t="inlineStr">
        <is>
          <t>VEH-DEL-002</t>
        </is>
      </c>
      <c r="D565" s="10" t="n">
        <v>8</v>
      </c>
      <c r="E565" s="10" t="inlineStr">
        <is>
          <t>ORD-DEL-002445</t>
        </is>
      </c>
      <c r="F565" s="10" t="inlineStr">
        <is>
          <t>ECOM_B2C</t>
        </is>
      </c>
      <c r="G565" s="10" t="inlineStr">
        <is>
          <t>Gurugram</t>
        </is>
      </c>
      <c r="H565" s="10" t="n">
        <v>3.02</v>
      </c>
      <c r="I565" s="10" t="n">
        <v>600</v>
      </c>
      <c r="J565" s="10" t="n">
        <v>720</v>
      </c>
      <c r="K565" s="12" t="n">
        <v>667.4</v>
      </c>
      <c r="L565" s="12" t="n">
        <v>0</v>
      </c>
      <c r="M565" s="10" t="inlineStr">
        <is>
          <t>Yes</t>
        </is>
      </c>
      <c r="N565" s="11" t="n">
        <v>0.618</v>
      </c>
      <c r="O565" s="11" t="n">
        <v>0.834</v>
      </c>
      <c r="P565" s="12" t="n">
        <v>2</v>
      </c>
    </row>
    <row r="566">
      <c r="B566" s="16" t="inlineStr">
        <is>
          <t>DEL</t>
        </is>
      </c>
      <c r="C566" s="16" t="inlineStr">
        <is>
          <t>VEH-DEL-007</t>
        </is>
      </c>
      <c r="D566" s="16" t="n">
        <v>1</v>
      </c>
      <c r="E566" s="16" t="inlineStr">
        <is>
          <t>ORD-DEL-002623</t>
        </is>
      </c>
      <c r="F566" s="16" t="inlineStr">
        <is>
          <t>MODERN_RETAIL</t>
        </is>
      </c>
      <c r="G566" s="16" t="inlineStr">
        <is>
          <t>Central Delhi</t>
        </is>
      </c>
      <c r="H566" s="16" t="n">
        <v>294.6</v>
      </c>
      <c r="I566" s="16" t="n">
        <v>600</v>
      </c>
      <c r="J566" s="16" t="n">
        <v>900</v>
      </c>
      <c r="K566" s="18" t="n">
        <v>558.7</v>
      </c>
      <c r="L566" s="18" t="n">
        <v>0</v>
      </c>
      <c r="M566" s="16" t="inlineStr">
        <is>
          <t>Yes</t>
        </is>
      </c>
      <c r="N566" s="17" t="n">
        <v>50.133</v>
      </c>
      <c r="O566" s="17" t="n">
        <v>67.68000000000001</v>
      </c>
      <c r="P566" s="18" t="n">
        <v>138.7</v>
      </c>
    </row>
    <row r="567">
      <c r="B567" s="10" t="inlineStr">
        <is>
          <t>DEL</t>
        </is>
      </c>
      <c r="C567" s="10" t="inlineStr">
        <is>
          <t>VEH-DEL-007</t>
        </is>
      </c>
      <c r="D567" s="10" t="n">
        <v>2</v>
      </c>
      <c r="E567" s="10" t="inlineStr">
        <is>
          <t>ORD-DEL-002652</t>
        </is>
      </c>
      <c r="F567" s="10" t="inlineStr">
        <is>
          <t>AUTOMOTIVE</t>
        </is>
      </c>
      <c r="G567" s="10" t="inlineStr">
        <is>
          <t>Central Delhi</t>
        </is>
      </c>
      <c r="H567" s="10" t="n">
        <v>214.27</v>
      </c>
      <c r="I567" s="10" t="n">
        <v>480</v>
      </c>
      <c r="J567" s="10" t="n">
        <v>720</v>
      </c>
      <c r="K567" s="12" t="n">
        <v>632.6</v>
      </c>
      <c r="L567" s="12" t="n">
        <v>0</v>
      </c>
      <c r="M567" s="10" t="inlineStr">
        <is>
          <t>Yes</t>
        </is>
      </c>
      <c r="N567" s="11" t="n">
        <v>2.466</v>
      </c>
      <c r="O567" s="11" t="n">
        <v>3.329</v>
      </c>
      <c r="P567" s="12" t="n">
        <v>12.3</v>
      </c>
    </row>
    <row r="568">
      <c r="B568" s="16" t="inlineStr">
        <is>
          <t>DEL</t>
        </is>
      </c>
      <c r="C568" s="16" t="inlineStr">
        <is>
          <t>VEH-DEL-007</t>
        </is>
      </c>
      <c r="D568" s="16" t="n">
        <v>3</v>
      </c>
      <c r="E568" s="16" t="inlineStr">
        <is>
          <t>ORD-DEL-002628</t>
        </is>
      </c>
      <c r="F568" s="16" t="inlineStr">
        <is>
          <t>MODERN_RETAIL</t>
        </is>
      </c>
      <c r="G568" s="16" t="inlineStr">
        <is>
          <t>Central Delhi</t>
        </is>
      </c>
      <c r="H568" s="16" t="n">
        <v>293.94</v>
      </c>
      <c r="I568" s="16" t="n">
        <v>480</v>
      </c>
      <c r="J568" s="16" t="n">
        <v>720</v>
      </c>
      <c r="K568" s="18" t="n">
        <v>650.8</v>
      </c>
      <c r="L568" s="18" t="n">
        <v>0</v>
      </c>
      <c r="M568" s="16" t="inlineStr">
        <is>
          <t>Yes</t>
        </is>
      </c>
      <c r="N568" s="17" t="n">
        <v>0.147</v>
      </c>
      <c r="O568" s="17" t="n">
        <v>0.198</v>
      </c>
      <c r="P568" s="18" t="n">
        <v>0.7</v>
      </c>
    </row>
    <row r="569">
      <c r="B569" s="10" t="inlineStr">
        <is>
          <t>DEL</t>
        </is>
      </c>
      <c r="C569" s="10" t="inlineStr">
        <is>
          <t>VEH-DEL-007</t>
        </is>
      </c>
      <c r="D569" s="10" t="n">
        <v>4</v>
      </c>
      <c r="E569" s="10" t="inlineStr">
        <is>
          <t>ORD-DEL-002615</t>
        </is>
      </c>
      <c r="F569" s="10" t="inlineStr">
        <is>
          <t>MODERN_RETAIL</t>
        </is>
      </c>
      <c r="G569" s="10" t="inlineStr">
        <is>
          <t>Central Delhi</t>
        </is>
      </c>
      <c r="H569" s="10" t="n">
        <v>119.36</v>
      </c>
      <c r="I569" s="10" t="n">
        <v>600</v>
      </c>
      <c r="J569" s="10" t="n">
        <v>900</v>
      </c>
      <c r="K569" s="12" t="n">
        <v>686</v>
      </c>
      <c r="L569" s="12" t="n">
        <v>0</v>
      </c>
      <c r="M569" s="10" t="inlineStr">
        <is>
          <t>Yes</t>
        </is>
      </c>
      <c r="N569" s="11" t="n">
        <v>4.877</v>
      </c>
      <c r="O569" s="11" t="n">
        <v>6.584</v>
      </c>
      <c r="P569" s="12" t="n">
        <v>14.8</v>
      </c>
    </row>
    <row r="570">
      <c r="B570" s="16" t="inlineStr">
        <is>
          <t>DEL</t>
        </is>
      </c>
      <c r="C570" s="16" t="inlineStr">
        <is>
          <t>VEH-DEL-007</t>
        </is>
      </c>
      <c r="D570" s="16" t="n">
        <v>5</v>
      </c>
      <c r="E570" s="16" t="inlineStr">
        <is>
          <t>ORD-DEL-002649</t>
        </is>
      </c>
      <c r="F570" s="16" t="inlineStr">
        <is>
          <t>AUTOMOTIVE</t>
        </is>
      </c>
      <c r="G570" s="16" t="inlineStr">
        <is>
          <t>Gurugram</t>
        </is>
      </c>
      <c r="H570" s="16" t="n">
        <v>64.48</v>
      </c>
      <c r="I570" s="16" t="n">
        <v>840</v>
      </c>
      <c r="J570" s="16" t="n">
        <v>1080</v>
      </c>
      <c r="K570" s="18" t="n">
        <v>761.2</v>
      </c>
      <c r="L570" s="18" t="n">
        <v>0</v>
      </c>
      <c r="M570" s="16" t="inlineStr">
        <is>
          <t>Yes</t>
        </is>
      </c>
      <c r="N570" s="17" t="n">
        <v>20.648</v>
      </c>
      <c r="O570" s="17" t="n">
        <v>27.875</v>
      </c>
      <c r="P570" s="18" t="n">
        <v>61</v>
      </c>
    </row>
    <row r="571">
      <c r="B571" s="10" t="inlineStr">
        <is>
          <t>DEL</t>
        </is>
      </c>
      <c r="C571" s="10" t="inlineStr">
        <is>
          <t>VEH-DEL-008</t>
        </is>
      </c>
      <c r="D571" s="10" t="n">
        <v>1</v>
      </c>
      <c r="E571" s="10" t="inlineStr">
        <is>
          <t>ORD-DEL-002619</t>
        </is>
      </c>
      <c r="F571" s="10" t="inlineStr">
        <is>
          <t>MODERN_RETAIL</t>
        </is>
      </c>
      <c r="G571" s="10" t="inlineStr">
        <is>
          <t>Central Delhi</t>
        </is>
      </c>
      <c r="H571" s="10" t="n">
        <v>56.54</v>
      </c>
      <c r="I571" s="10" t="n">
        <v>600</v>
      </c>
      <c r="J571" s="10" t="n">
        <v>900</v>
      </c>
      <c r="K571" s="12" t="n">
        <v>556.3</v>
      </c>
      <c r="L571" s="12" t="n">
        <v>0</v>
      </c>
      <c r="M571" s="10" t="inlineStr">
        <is>
          <t>Yes</t>
        </is>
      </c>
      <c r="N571" s="11" t="n">
        <v>49.248</v>
      </c>
      <c r="O571" s="11" t="n">
        <v>66.485</v>
      </c>
      <c r="P571" s="12" t="n">
        <v>136.3</v>
      </c>
    </row>
    <row r="572">
      <c r="B572" s="16" t="inlineStr">
        <is>
          <t>DEL</t>
        </is>
      </c>
      <c r="C572" s="16" t="inlineStr">
        <is>
          <t>VEH-DEL-008</t>
        </is>
      </c>
      <c r="D572" s="16" t="n">
        <v>2</v>
      </c>
      <c r="E572" s="16" t="inlineStr">
        <is>
          <t>ORD-DEL-002613</t>
        </is>
      </c>
      <c r="F572" s="16" t="inlineStr">
        <is>
          <t>MODERN_RETAIL</t>
        </is>
      </c>
      <c r="G572" s="16" t="inlineStr">
        <is>
          <t>Central Delhi</t>
        </is>
      </c>
      <c r="H572" s="16" t="n">
        <v>223.14</v>
      </c>
      <c r="I572" s="16" t="n">
        <v>480</v>
      </c>
      <c r="J572" s="16" t="n">
        <v>720</v>
      </c>
      <c r="K572" s="18" t="n">
        <v>614.8</v>
      </c>
      <c r="L572" s="18" t="n">
        <v>0</v>
      </c>
      <c r="M572" s="16" t="inlineStr">
        <is>
          <t>Yes</t>
        </is>
      </c>
      <c r="N572" s="17" t="n">
        <v>0.575</v>
      </c>
      <c r="O572" s="17" t="n">
        <v>0.776</v>
      </c>
      <c r="P572" s="18" t="n">
        <v>2.9</v>
      </c>
    </row>
    <row r="573">
      <c r="B573" s="10" t="inlineStr">
        <is>
          <t>DEL</t>
        </is>
      </c>
      <c r="C573" s="10" t="inlineStr">
        <is>
          <t>VEH-DEL-008</t>
        </is>
      </c>
      <c r="D573" s="10" t="n">
        <v>3</v>
      </c>
      <c r="E573" s="10" t="inlineStr">
        <is>
          <t>ORD-DEL-002629</t>
        </is>
      </c>
      <c r="F573" s="10" t="inlineStr">
        <is>
          <t>MODERN_RETAIL</t>
        </is>
      </c>
      <c r="G573" s="10" t="inlineStr">
        <is>
          <t>Central Delhi</t>
        </is>
      </c>
      <c r="H573" s="10" t="n">
        <v>102.86</v>
      </c>
      <c r="I573" s="10" t="n">
        <v>480</v>
      </c>
      <c r="J573" s="10" t="n">
        <v>720</v>
      </c>
      <c r="K573" s="12" t="n">
        <v>632.7</v>
      </c>
      <c r="L573" s="12" t="n">
        <v>0</v>
      </c>
      <c r="M573" s="10" t="inlineStr">
        <is>
          <t>Yes</t>
        </is>
      </c>
      <c r="N573" s="11" t="n">
        <v>0</v>
      </c>
      <c r="O573" s="11" t="n">
        <v>0</v>
      </c>
      <c r="P573" s="12" t="n">
        <v>0</v>
      </c>
    </row>
    <row r="574">
      <c r="B574" s="16" t="inlineStr">
        <is>
          <t>DEL</t>
        </is>
      </c>
      <c r="C574" s="16" t="inlineStr">
        <is>
          <t>VEH-DEL-008</t>
        </is>
      </c>
      <c r="D574" s="16" t="n">
        <v>4</v>
      </c>
      <c r="E574" s="16" t="inlineStr">
        <is>
          <t>ORD-DEL-002648</t>
        </is>
      </c>
      <c r="F574" s="16" t="inlineStr">
        <is>
          <t>AUTOMOTIVE</t>
        </is>
      </c>
      <c r="G574" s="16" t="inlineStr">
        <is>
          <t>Central Delhi</t>
        </is>
      </c>
      <c r="H574" s="16" t="n">
        <v>60.67</v>
      </c>
      <c r="I574" s="16" t="n">
        <v>480</v>
      </c>
      <c r="J574" s="16" t="n">
        <v>720</v>
      </c>
      <c r="K574" s="18" t="n">
        <v>648.2</v>
      </c>
      <c r="L574" s="18" t="n">
        <v>0</v>
      </c>
      <c r="M574" s="16" t="inlineStr">
        <is>
          <t>Yes</t>
        </is>
      </c>
      <c r="N574" s="17" t="n">
        <v>0.387</v>
      </c>
      <c r="O574" s="17" t="n">
        <v>0.523</v>
      </c>
      <c r="P574" s="18" t="n">
        <v>1.9</v>
      </c>
    </row>
    <row r="575">
      <c r="B575" s="10" t="inlineStr">
        <is>
          <t>DEL</t>
        </is>
      </c>
      <c r="C575" s="10" t="inlineStr">
        <is>
          <t>VEH-DEL-008</t>
        </is>
      </c>
      <c r="D575" s="10" t="n">
        <v>5</v>
      </c>
      <c r="E575" s="10" t="inlineStr">
        <is>
          <t>ORD-DEL-002644</t>
        </is>
      </c>
      <c r="F575" s="10" t="inlineStr">
        <is>
          <t>AUTOMOTIVE</t>
        </is>
      </c>
      <c r="G575" s="10" t="inlineStr">
        <is>
          <t>Central Delhi</t>
        </is>
      </c>
      <c r="H575" s="10" t="n">
        <v>27.23</v>
      </c>
      <c r="I575" s="10" t="n">
        <v>480</v>
      </c>
      <c r="J575" s="10" t="n">
        <v>720</v>
      </c>
      <c r="K575" s="12" t="n">
        <v>666.7</v>
      </c>
      <c r="L575" s="12" t="n">
        <v>0</v>
      </c>
      <c r="M575" s="10" t="inlineStr">
        <is>
          <t>Yes</t>
        </is>
      </c>
      <c r="N575" s="11" t="n">
        <v>2.086</v>
      </c>
      <c r="O575" s="11" t="n">
        <v>2.816</v>
      </c>
      <c r="P575" s="12" t="n">
        <v>6.3</v>
      </c>
    </row>
    <row r="576">
      <c r="B576" s="16" t="inlineStr">
        <is>
          <t>DEL</t>
        </is>
      </c>
      <c r="C576" s="16" t="inlineStr">
        <is>
          <t>VEH-DEL-008</t>
        </is>
      </c>
      <c r="D576" s="16" t="n">
        <v>6</v>
      </c>
      <c r="E576" s="16" t="inlineStr">
        <is>
          <t>ORD-DEL-002625</t>
        </is>
      </c>
      <c r="F576" s="16" t="inlineStr">
        <is>
          <t>MODERN_RETAIL</t>
        </is>
      </c>
      <c r="G576" s="16" t="inlineStr">
        <is>
          <t>Central Delhi</t>
        </is>
      </c>
      <c r="H576" s="16" t="n">
        <v>200.45</v>
      </c>
      <c r="I576" s="16" t="n">
        <v>600</v>
      </c>
      <c r="J576" s="16" t="n">
        <v>900</v>
      </c>
      <c r="K576" s="18" t="n">
        <v>686.9</v>
      </c>
      <c r="L576" s="18" t="n">
        <v>0</v>
      </c>
      <c r="M576" s="16" t="inlineStr">
        <is>
          <t>Yes</t>
        </is>
      </c>
      <c r="N576" s="17" t="n">
        <v>3.07</v>
      </c>
      <c r="O576" s="17" t="n">
        <v>4.145</v>
      </c>
      <c r="P576" s="18" t="n">
        <v>9.300000000000001</v>
      </c>
    </row>
    <row r="577">
      <c r="B577" s="10" t="inlineStr">
        <is>
          <t>DEL</t>
        </is>
      </c>
      <c r="C577" s="10" t="inlineStr">
        <is>
          <t>VEH-DEL-008</t>
        </is>
      </c>
      <c r="D577" s="10" t="n">
        <v>7</v>
      </c>
      <c r="E577" s="10" t="inlineStr">
        <is>
          <t>ORD-DEL-002659</t>
        </is>
      </c>
      <c r="F577" s="10" t="inlineStr">
        <is>
          <t>AUTOMOTIVE</t>
        </is>
      </c>
      <c r="G577" s="10" t="inlineStr">
        <is>
          <t>Noida</t>
        </is>
      </c>
      <c r="H577" s="10" t="n">
        <v>236.81</v>
      </c>
      <c r="I577" s="10" t="n">
        <v>660</v>
      </c>
      <c r="J577" s="10" t="n">
        <v>900</v>
      </c>
      <c r="K577" s="12" t="n">
        <v>739.7</v>
      </c>
      <c r="L577" s="12" t="n">
        <v>0</v>
      </c>
      <c r="M577" s="10" t="inlineStr">
        <is>
          <t>Yes</t>
        </is>
      </c>
      <c r="N577" s="11" t="n">
        <v>12.347</v>
      </c>
      <c r="O577" s="11" t="n">
        <v>16.668</v>
      </c>
      <c r="P577" s="12" t="n">
        <v>35.7</v>
      </c>
    </row>
    <row r="578">
      <c r="B578" s="16" t="inlineStr">
        <is>
          <t>DEL</t>
        </is>
      </c>
      <c r="C578" s="16" t="inlineStr">
        <is>
          <t>VEH-DEL-008</t>
        </is>
      </c>
      <c r="D578" s="16" t="n">
        <v>8</v>
      </c>
      <c r="E578" s="16" t="inlineStr">
        <is>
          <t>ORD-DEL-002640</t>
        </is>
      </c>
      <c r="F578" s="16" t="inlineStr">
        <is>
          <t>AUTOMOTIVE</t>
        </is>
      </c>
      <c r="G578" s="16" t="inlineStr">
        <is>
          <t>South Delhi</t>
        </is>
      </c>
      <c r="H578" s="16" t="n">
        <v>70.84</v>
      </c>
      <c r="I578" s="16" t="n">
        <v>840</v>
      </c>
      <c r="J578" s="16" t="n">
        <v>960</v>
      </c>
      <c r="K578" s="18" t="n">
        <v>793.1</v>
      </c>
      <c r="L578" s="18" t="n">
        <v>0</v>
      </c>
      <c r="M578" s="16" t="inlineStr">
        <is>
          <t>Yes</t>
        </is>
      </c>
      <c r="N578" s="17" t="n">
        <v>11.867</v>
      </c>
      <c r="O578" s="17" t="n">
        <v>16.02</v>
      </c>
      <c r="P578" s="18" t="n">
        <v>35.1</v>
      </c>
    </row>
    <row r="579">
      <c r="B579" s="10" t="inlineStr">
        <is>
          <t>DEL</t>
        </is>
      </c>
      <c r="C579" s="10" t="inlineStr">
        <is>
          <t>VEH-DEL-008</t>
        </is>
      </c>
      <c r="D579" s="10" t="n">
        <v>9</v>
      </c>
      <c r="E579" s="10" t="inlineStr">
        <is>
          <t>ORD-DEL-002491</t>
        </is>
      </c>
      <c r="F579" s="10" t="inlineStr">
        <is>
          <t>ECOM_B2C</t>
        </is>
      </c>
      <c r="G579" s="10" t="inlineStr">
        <is>
          <t>Gurugram</t>
        </is>
      </c>
      <c r="H579" s="10" t="n">
        <v>1.97</v>
      </c>
      <c r="I579" s="10" t="n">
        <v>900</v>
      </c>
      <c r="J579" s="10" t="n">
        <v>1080</v>
      </c>
      <c r="K579" s="12" t="n">
        <v>913.2</v>
      </c>
      <c r="L579" s="12" t="n">
        <v>0</v>
      </c>
      <c r="M579" s="10" t="inlineStr">
        <is>
          <t>Yes</t>
        </is>
      </c>
      <c r="N579" s="11" t="n">
        <v>20.549</v>
      </c>
      <c r="O579" s="11" t="n">
        <v>27.741</v>
      </c>
      <c r="P579" s="12" t="n">
        <v>60.7</v>
      </c>
    </row>
    <row r="580">
      <c r="B580" s="16" t="inlineStr">
        <is>
          <t>DEL</t>
        </is>
      </c>
      <c r="C580" s="16" t="inlineStr">
        <is>
          <t>VEH-DEL-009</t>
        </is>
      </c>
      <c r="D580" s="16" t="n">
        <v>1</v>
      </c>
      <c r="E580" s="16" t="inlineStr">
        <is>
          <t>ORD-DEL-002655</t>
        </is>
      </c>
      <c r="F580" s="16" t="inlineStr">
        <is>
          <t>AUTOMOTIVE</t>
        </is>
      </c>
      <c r="G580" s="16" t="inlineStr">
        <is>
          <t>West Delhi</t>
        </is>
      </c>
      <c r="H580" s="16" t="n">
        <v>128.94</v>
      </c>
      <c r="I580" s="16" t="n">
        <v>480</v>
      </c>
      <c r="J580" s="16" t="n">
        <v>600</v>
      </c>
      <c r="K580" s="18" t="n">
        <v>518.3</v>
      </c>
      <c r="L580" s="18" t="n">
        <v>0</v>
      </c>
      <c r="M580" s="16" t="inlineStr">
        <is>
          <t>Yes</t>
        </is>
      </c>
      <c r="N580" s="17" t="n">
        <v>36.045</v>
      </c>
      <c r="O580" s="17" t="n">
        <v>48.661</v>
      </c>
      <c r="P580" s="18" t="n">
        <v>98.3</v>
      </c>
    </row>
    <row r="581">
      <c r="B581" s="10" t="inlineStr">
        <is>
          <t>DEL</t>
        </is>
      </c>
      <c r="C581" s="10" t="inlineStr">
        <is>
          <t>VEH-DEL-009</t>
        </is>
      </c>
      <c r="D581" s="10" t="n">
        <v>2</v>
      </c>
      <c r="E581" s="10" t="inlineStr">
        <is>
          <t>ORD-DEL-002614</t>
        </is>
      </c>
      <c r="F581" s="10" t="inlineStr">
        <is>
          <t>MODERN_RETAIL</t>
        </is>
      </c>
      <c r="G581" s="10" t="inlineStr">
        <is>
          <t>West Delhi</t>
        </is>
      </c>
      <c r="H581" s="10" t="n">
        <v>192.1</v>
      </c>
      <c r="I581" s="10" t="n">
        <v>480</v>
      </c>
      <c r="J581" s="10" t="n">
        <v>720</v>
      </c>
      <c r="K581" s="12" t="n">
        <v>534.5</v>
      </c>
      <c r="L581" s="12" t="n">
        <v>0</v>
      </c>
      <c r="M581" s="10" t="inlineStr">
        <is>
          <t>Yes</t>
        </is>
      </c>
      <c r="N581" s="11" t="n">
        <v>0.334</v>
      </c>
      <c r="O581" s="11" t="n">
        <v>0.451</v>
      </c>
      <c r="P581" s="12" t="n">
        <v>1.6</v>
      </c>
    </row>
    <row r="582">
      <c r="B582" s="16" t="inlineStr">
        <is>
          <t>DEL</t>
        </is>
      </c>
      <c r="C582" s="16" t="inlineStr">
        <is>
          <t>VEH-DEL-009</t>
        </is>
      </c>
      <c r="D582" s="16" t="n">
        <v>3</v>
      </c>
      <c r="E582" s="16" t="inlineStr">
        <is>
          <t>ORD-DEL-002620</t>
        </is>
      </c>
      <c r="F582" s="16" t="inlineStr">
        <is>
          <t>MODERN_RETAIL</t>
        </is>
      </c>
      <c r="G582" s="16" t="inlineStr">
        <is>
          <t>West Delhi</t>
        </is>
      </c>
      <c r="H582" s="16" t="n">
        <v>185.79</v>
      </c>
      <c r="I582" s="16" t="n">
        <v>480</v>
      </c>
      <c r="J582" s="16" t="n">
        <v>720</v>
      </c>
      <c r="K582" s="18" t="n">
        <v>576.5</v>
      </c>
      <c r="L582" s="18" t="n">
        <v>0</v>
      </c>
      <c r="M582" s="16" t="inlineStr">
        <is>
          <t>Yes</t>
        </is>
      </c>
      <c r="N582" s="17" t="n">
        <v>5.155</v>
      </c>
      <c r="O582" s="17" t="n">
        <v>6.959</v>
      </c>
      <c r="P582" s="18" t="n">
        <v>25.3</v>
      </c>
    </row>
    <row r="583">
      <c r="B583" s="10" t="inlineStr">
        <is>
          <t>DEL</t>
        </is>
      </c>
      <c r="C583" s="10" t="inlineStr">
        <is>
          <t>VEH-DEL-009</t>
        </is>
      </c>
      <c r="D583" s="10" t="n">
        <v>4</v>
      </c>
      <c r="E583" s="10" t="inlineStr">
        <is>
          <t>ORD-DEL-002657</t>
        </is>
      </c>
      <c r="F583" s="10" t="inlineStr">
        <is>
          <t>AUTOMOTIVE</t>
        </is>
      </c>
      <c r="G583" s="10" t="inlineStr">
        <is>
          <t>West Delhi</t>
        </is>
      </c>
      <c r="H583" s="10" t="n">
        <v>24.26</v>
      </c>
      <c r="I583" s="10" t="n">
        <v>660</v>
      </c>
      <c r="J583" s="10" t="n">
        <v>780</v>
      </c>
      <c r="K583" s="12" t="n">
        <v>614.4</v>
      </c>
      <c r="L583" s="12" t="n">
        <v>0</v>
      </c>
      <c r="M583" s="10" t="inlineStr">
        <is>
          <t>Yes</t>
        </is>
      </c>
      <c r="N583" s="11" t="n">
        <v>4.365</v>
      </c>
      <c r="O583" s="11" t="n">
        <v>5.893</v>
      </c>
      <c r="P583" s="12" t="n">
        <v>21.4</v>
      </c>
    </row>
    <row r="584">
      <c r="B584" s="16" t="inlineStr">
        <is>
          <t>DEL</t>
        </is>
      </c>
      <c r="C584" s="16" t="inlineStr">
        <is>
          <t>VEH-DEL-009</t>
        </is>
      </c>
      <c r="D584" s="16" t="n">
        <v>5</v>
      </c>
      <c r="E584" s="16" t="inlineStr">
        <is>
          <t>ORD-DEL-002618</t>
        </is>
      </c>
      <c r="F584" s="16" t="inlineStr">
        <is>
          <t>MODERN_RETAIL</t>
        </is>
      </c>
      <c r="G584" s="16" t="inlineStr">
        <is>
          <t>West Delhi</t>
        </is>
      </c>
      <c r="H584" s="16" t="n">
        <v>162.98</v>
      </c>
      <c r="I584" s="16" t="n">
        <v>480</v>
      </c>
      <c r="J584" s="16" t="n">
        <v>720</v>
      </c>
      <c r="K584" s="18" t="n">
        <v>673.8</v>
      </c>
      <c r="L584" s="18" t="n">
        <v>0</v>
      </c>
      <c r="M584" s="16" t="inlineStr">
        <is>
          <t>Yes</t>
        </is>
      </c>
      <c r="N584" s="17" t="n">
        <v>0.974</v>
      </c>
      <c r="O584" s="17" t="n">
        <v>1.314</v>
      </c>
      <c r="P584" s="18" t="n">
        <v>2.9</v>
      </c>
    </row>
    <row r="585">
      <c r="B585" s="10" t="inlineStr">
        <is>
          <t>DEL</t>
        </is>
      </c>
      <c r="C585" s="10" t="inlineStr">
        <is>
          <t>VEH-DEL-009</t>
        </is>
      </c>
      <c r="D585" s="10" t="n">
        <v>6</v>
      </c>
      <c r="E585" s="10" t="inlineStr">
        <is>
          <t>ORD-DEL-002631</t>
        </is>
      </c>
      <c r="F585" s="10" t="inlineStr">
        <is>
          <t>MODERN_RETAIL</t>
        </is>
      </c>
      <c r="G585" s="10" t="inlineStr">
        <is>
          <t>West Delhi</t>
        </is>
      </c>
      <c r="H585" s="10" t="n">
        <v>175.67</v>
      </c>
      <c r="I585" s="10" t="n">
        <v>600</v>
      </c>
      <c r="J585" s="10" t="n">
        <v>900</v>
      </c>
      <c r="K585" s="12" t="n">
        <v>691</v>
      </c>
      <c r="L585" s="12" t="n">
        <v>0</v>
      </c>
      <c r="M585" s="10" t="inlineStr">
        <is>
          <t>Yes</t>
        </is>
      </c>
      <c r="N585" s="11" t="n">
        <v>0.506</v>
      </c>
      <c r="O585" s="11" t="n">
        <v>0.6840000000000001</v>
      </c>
      <c r="P585" s="12" t="n">
        <v>1.5</v>
      </c>
    </row>
    <row r="586">
      <c r="B586" s="16" t="inlineStr">
        <is>
          <t>DEL</t>
        </is>
      </c>
      <c r="C586" s="16" t="inlineStr">
        <is>
          <t>VEH-DEL-009</t>
        </is>
      </c>
      <c r="D586" s="16" t="n">
        <v>7</v>
      </c>
      <c r="E586" s="16" t="inlineStr">
        <is>
          <t>ORD-DEL-002647</t>
        </is>
      </c>
      <c r="F586" s="16" t="inlineStr">
        <is>
          <t>AUTOMOTIVE</t>
        </is>
      </c>
      <c r="G586" s="16" t="inlineStr">
        <is>
          <t>Gurugram</t>
        </is>
      </c>
      <c r="H586" s="16" t="n">
        <v>77.37</v>
      </c>
      <c r="I586" s="16" t="n">
        <v>840</v>
      </c>
      <c r="J586" s="16" t="n">
        <v>1080</v>
      </c>
      <c r="K586" s="18" t="n">
        <v>774.7</v>
      </c>
      <c r="L586" s="18" t="n">
        <v>0</v>
      </c>
      <c r="M586" s="16" t="inlineStr">
        <is>
          <t>Yes</t>
        </is>
      </c>
      <c r="N586" s="17" t="n">
        <v>22.844</v>
      </c>
      <c r="O586" s="17" t="n">
        <v>30.84</v>
      </c>
      <c r="P586" s="18" t="n">
        <v>67.5</v>
      </c>
    </row>
    <row r="587">
      <c r="B587" s="10" t="inlineStr">
        <is>
          <t>DEL</t>
        </is>
      </c>
      <c r="C587" s="10" t="inlineStr">
        <is>
          <t>VEH-DEL-009</t>
        </is>
      </c>
      <c r="D587" s="10" t="n">
        <v>8</v>
      </c>
      <c r="E587" s="10" t="inlineStr">
        <is>
          <t>ORD-DEL-002637</t>
        </is>
      </c>
      <c r="F587" s="10" t="inlineStr">
        <is>
          <t>AUTOMOTIVE</t>
        </is>
      </c>
      <c r="G587" s="10" t="inlineStr">
        <is>
          <t>Gurugram</t>
        </is>
      </c>
      <c r="H587" s="10" t="n">
        <v>28.22</v>
      </c>
      <c r="I587" s="10" t="n">
        <v>840</v>
      </c>
      <c r="J587" s="10" t="n">
        <v>960</v>
      </c>
      <c r="K587" s="12" t="n">
        <v>852.7</v>
      </c>
      <c r="L587" s="12" t="n">
        <v>0</v>
      </c>
      <c r="M587" s="10" t="inlineStr">
        <is>
          <t>Yes</t>
        </is>
      </c>
      <c r="N587" s="11" t="n">
        <v>0</v>
      </c>
      <c r="O587" s="11" t="n">
        <v>0</v>
      </c>
      <c r="P587" s="12" t="n">
        <v>0</v>
      </c>
    </row>
    <row r="588">
      <c r="B588" s="16" t="inlineStr">
        <is>
          <t>DEL</t>
        </is>
      </c>
      <c r="C588" s="16" t="inlineStr">
        <is>
          <t>VEH-DEL-010</t>
        </is>
      </c>
      <c r="D588" s="16" t="n">
        <v>1</v>
      </c>
      <c r="E588" s="16" t="inlineStr">
        <is>
          <t>ORD-DEL-002626</t>
        </is>
      </c>
      <c r="F588" s="16" t="inlineStr">
        <is>
          <t>MODERN_RETAIL</t>
        </is>
      </c>
      <c r="G588" s="16" t="inlineStr">
        <is>
          <t>West Delhi</t>
        </is>
      </c>
      <c r="H588" s="16" t="n">
        <v>100.11</v>
      </c>
      <c r="I588" s="16" t="n">
        <v>840</v>
      </c>
      <c r="J588" s="16" t="n">
        <v>1080</v>
      </c>
      <c r="K588" s="18" t="n">
        <v>840</v>
      </c>
      <c r="L588" s="18" t="n">
        <v>0</v>
      </c>
      <c r="M588" s="16" t="inlineStr">
        <is>
          <t>Yes</t>
        </is>
      </c>
      <c r="N588" s="17" t="n">
        <v>40.801</v>
      </c>
      <c r="O588" s="17" t="n">
        <v>55.081</v>
      </c>
      <c r="P588" s="18" t="n">
        <v>122.4</v>
      </c>
    </row>
    <row r="589">
      <c r="B589" s="10" t="inlineStr">
        <is>
          <t>DEL</t>
        </is>
      </c>
      <c r="C589" s="10" t="inlineStr">
        <is>
          <t>VEH-DEL-010</t>
        </is>
      </c>
      <c r="D589" s="10" t="n">
        <v>2</v>
      </c>
      <c r="E589" s="10" t="inlineStr">
        <is>
          <t>ORD-DEL-002656</t>
        </is>
      </c>
      <c r="F589" s="10" t="inlineStr">
        <is>
          <t>AUTOMOTIVE</t>
        </is>
      </c>
      <c r="G589" s="10" t="inlineStr">
        <is>
          <t>Central Delhi</t>
        </is>
      </c>
      <c r="H589" s="10" t="n">
        <v>16.87</v>
      </c>
      <c r="I589" s="10" t="n">
        <v>840</v>
      </c>
      <c r="J589" s="10" t="n">
        <v>1080</v>
      </c>
      <c r="K589" s="12" t="n">
        <v>886.1</v>
      </c>
      <c r="L589" s="12" t="n">
        <v>0</v>
      </c>
      <c r="M589" s="10" t="inlineStr">
        <is>
          <t>Yes</t>
        </is>
      </c>
      <c r="N589" s="11" t="n">
        <v>10.696</v>
      </c>
      <c r="O589" s="11" t="n">
        <v>14.44</v>
      </c>
      <c r="P589" s="12" t="n">
        <v>32.6</v>
      </c>
    </row>
    <row r="590">
      <c r="B590" s="16" t="inlineStr">
        <is>
          <t>DEL</t>
        </is>
      </c>
      <c r="C590" s="16" t="inlineStr">
        <is>
          <t>VEH-DEL-010</t>
        </is>
      </c>
      <c r="D590" s="16" t="n">
        <v>3</v>
      </c>
      <c r="E590" s="16" t="inlineStr">
        <is>
          <t>ORD-DEL-002641</t>
        </is>
      </c>
      <c r="F590" s="16" t="inlineStr">
        <is>
          <t>AUTOMOTIVE</t>
        </is>
      </c>
      <c r="G590" s="16" t="inlineStr">
        <is>
          <t>Central Delhi</t>
        </is>
      </c>
      <c r="H590" s="16" t="n">
        <v>41.25</v>
      </c>
      <c r="I590" s="16" t="n">
        <v>840</v>
      </c>
      <c r="J590" s="16" t="n">
        <v>1080</v>
      </c>
      <c r="K590" s="18" t="n">
        <v>903</v>
      </c>
      <c r="L590" s="18" t="n">
        <v>0</v>
      </c>
      <c r="M590" s="16" t="inlineStr">
        <is>
          <t>Yes</t>
        </is>
      </c>
      <c r="N590" s="17" t="n">
        <v>2.098</v>
      </c>
      <c r="O590" s="17" t="n">
        <v>2.832</v>
      </c>
      <c r="P590" s="18" t="n">
        <v>6.4</v>
      </c>
    </row>
    <row r="591">
      <c r="B591" s="10" t="inlineStr">
        <is>
          <t>DEL</t>
        </is>
      </c>
      <c r="C591" s="10" t="inlineStr">
        <is>
          <t>VEH-DEL-010</t>
        </is>
      </c>
      <c r="D591" s="10" t="n">
        <v>4</v>
      </c>
      <c r="E591" s="10" t="inlineStr">
        <is>
          <t>ORD-DEL-002646</t>
        </is>
      </c>
      <c r="F591" s="10" t="inlineStr">
        <is>
          <t>AUTOMOTIVE</t>
        </is>
      </c>
      <c r="G591" s="10" t="inlineStr">
        <is>
          <t>South Delhi</t>
        </is>
      </c>
      <c r="H591" s="10" t="n">
        <v>78.93000000000001</v>
      </c>
      <c r="I591" s="10" t="n">
        <v>840</v>
      </c>
      <c r="J591" s="10" t="n">
        <v>960</v>
      </c>
      <c r="K591" s="12" t="n">
        <v>943</v>
      </c>
      <c r="L591" s="12" t="n">
        <v>0</v>
      </c>
      <c r="M591" s="10" t="inlineStr">
        <is>
          <t>Yes</t>
        </is>
      </c>
      <c r="N591" s="11" t="n">
        <v>9.638999999999999</v>
      </c>
      <c r="O591" s="11" t="n">
        <v>13.013</v>
      </c>
      <c r="P591" s="12" t="n">
        <v>28.5</v>
      </c>
    </row>
    <row r="592">
      <c r="B592" s="16" t="inlineStr">
        <is>
          <t>DEL</t>
        </is>
      </c>
      <c r="C592" s="16" t="inlineStr">
        <is>
          <t>VEH-DEL-010</t>
        </is>
      </c>
      <c r="D592" s="16" t="n">
        <v>5</v>
      </c>
      <c r="E592" s="16" t="inlineStr">
        <is>
          <t>ORD-DEL-002638</t>
        </is>
      </c>
      <c r="F592" s="16" t="inlineStr">
        <is>
          <t>AUTOMOTIVE</t>
        </is>
      </c>
      <c r="G592" s="16" t="inlineStr">
        <is>
          <t>South Delhi</t>
        </is>
      </c>
      <c r="H592" s="16" t="n">
        <v>91</v>
      </c>
      <c r="I592" s="16" t="n">
        <v>840</v>
      </c>
      <c r="J592" s="16" t="n">
        <v>960</v>
      </c>
      <c r="K592" s="18" t="n">
        <v>956.5</v>
      </c>
      <c r="L592" s="18" t="n">
        <v>0</v>
      </c>
      <c r="M592" s="16" t="inlineStr">
        <is>
          <t>Yes</t>
        </is>
      </c>
      <c r="N592" s="17" t="n">
        <v>0.258</v>
      </c>
      <c r="O592" s="17" t="n">
        <v>0.348</v>
      </c>
      <c r="P592" s="18" t="n">
        <v>0.8</v>
      </c>
    </row>
    <row r="593">
      <c r="B593" s="10" t="inlineStr">
        <is>
          <t>DEL</t>
        </is>
      </c>
      <c r="C593" s="10" t="inlineStr">
        <is>
          <t>VEH-DEL-010</t>
        </is>
      </c>
      <c r="D593" s="10" t="n">
        <v>6</v>
      </c>
      <c r="E593" s="10" t="inlineStr">
        <is>
          <t>ORD-DEL-002624</t>
        </is>
      </c>
      <c r="F593" s="10" t="inlineStr">
        <is>
          <t>MODERN_RETAIL</t>
        </is>
      </c>
      <c r="G593" s="10" t="inlineStr">
        <is>
          <t>Gurugram</t>
        </is>
      </c>
      <c r="H593" s="10" t="n">
        <v>166.25</v>
      </c>
      <c r="I593" s="10" t="n">
        <v>840</v>
      </c>
      <c r="J593" s="10" t="n">
        <v>1080</v>
      </c>
      <c r="K593" s="12" t="n">
        <v>1020.1</v>
      </c>
      <c r="L593" s="12" t="n">
        <v>0</v>
      </c>
      <c r="M593" s="10" t="inlineStr">
        <is>
          <t>Yes</t>
        </is>
      </c>
      <c r="N593" s="11" t="n">
        <v>17.055</v>
      </c>
      <c r="O593" s="11" t="n">
        <v>23.024</v>
      </c>
      <c r="P593" s="12" t="n">
        <v>50.4</v>
      </c>
    </row>
    <row r="594">
      <c r="B594" s="16" t="inlineStr">
        <is>
          <t>DEL</t>
        </is>
      </c>
      <c r="C594" s="16" t="inlineStr">
        <is>
          <t>VEH-DEL-010</t>
        </is>
      </c>
      <c r="D594" s="16" t="n">
        <v>7</v>
      </c>
      <c r="E594" s="16" t="inlineStr">
        <is>
          <t>ORD-DEL-002636</t>
        </is>
      </c>
      <c r="F594" s="16" t="inlineStr">
        <is>
          <t>AUTOMOTIVE</t>
        </is>
      </c>
      <c r="G594" s="16" t="inlineStr">
        <is>
          <t>Gurugram</t>
        </is>
      </c>
      <c r="H594" s="16" t="n">
        <v>74.25</v>
      </c>
      <c r="I594" s="16" t="n">
        <v>840</v>
      </c>
      <c r="J594" s="16" t="n">
        <v>1080</v>
      </c>
      <c r="K594" s="18" t="n">
        <v>1037.8</v>
      </c>
      <c r="L594" s="18" t="n">
        <v>0</v>
      </c>
      <c r="M594" s="16" t="inlineStr">
        <is>
          <t>Yes</t>
        </is>
      </c>
      <c r="N594" s="17" t="n">
        <v>0.315</v>
      </c>
      <c r="O594" s="17" t="n">
        <v>0.426</v>
      </c>
      <c r="P594" s="18" t="n">
        <v>1.9</v>
      </c>
    </row>
    <row r="595">
      <c r="B595" s="10" t="inlineStr">
        <is>
          <t>DEL</t>
        </is>
      </c>
      <c r="C595" s="10" t="inlineStr">
        <is>
          <t>VEH-DEL-010</t>
        </is>
      </c>
      <c r="D595" s="10" t="n">
        <v>8</v>
      </c>
      <c r="E595" s="10" t="inlineStr">
        <is>
          <t>ORD-DEL-002634</t>
        </is>
      </c>
      <c r="F595" s="10" t="inlineStr">
        <is>
          <t>MODERN_RETAIL</t>
        </is>
      </c>
      <c r="G595" s="10" t="inlineStr">
        <is>
          <t>Gurugram</t>
        </is>
      </c>
      <c r="H595" s="10" t="n">
        <v>308.42</v>
      </c>
      <c r="I595" s="10" t="n">
        <v>840</v>
      </c>
      <c r="J595" s="10" t="n">
        <v>1080</v>
      </c>
      <c r="K595" s="12" t="n">
        <v>1076.8</v>
      </c>
      <c r="L595" s="12" t="n">
        <v>0</v>
      </c>
      <c r="M595" s="10" t="inlineStr">
        <is>
          <t>Yes</t>
        </is>
      </c>
      <c r="N595" s="11" t="n">
        <v>4.468</v>
      </c>
      <c r="O595" s="11" t="n">
        <v>6.032</v>
      </c>
      <c r="P595" s="12" t="n">
        <v>26.4</v>
      </c>
    </row>
    <row r="596">
      <c r="B596" s="16" t="inlineStr">
        <is>
          <t>DEL</t>
        </is>
      </c>
      <c r="C596" s="16" t="inlineStr">
        <is>
          <t>VEH-DEL-010</t>
        </is>
      </c>
      <c r="D596" s="16" t="n">
        <v>9</v>
      </c>
      <c r="E596" s="16" t="inlineStr">
        <is>
          <t>ORD-DEL-002512</t>
        </is>
      </c>
      <c r="F596" s="16" t="inlineStr">
        <is>
          <t>ECOM_B2C</t>
        </is>
      </c>
      <c r="G596" s="16" t="inlineStr">
        <is>
          <t>Gurugram</t>
        </is>
      </c>
      <c r="H596" s="16" t="n">
        <v>2.46</v>
      </c>
      <c r="I596" s="16" t="n">
        <v>1080</v>
      </c>
      <c r="J596" s="16" t="n">
        <v>1200</v>
      </c>
      <c r="K596" s="18" t="n">
        <v>1106.3</v>
      </c>
      <c r="L596" s="18" t="n">
        <v>0</v>
      </c>
      <c r="M596" s="16" t="inlineStr">
        <is>
          <t>Yes</t>
        </is>
      </c>
      <c r="N596" s="17" t="n">
        <v>1.469</v>
      </c>
      <c r="O596" s="17" t="n">
        <v>1.983</v>
      </c>
      <c r="P596" s="18" t="n">
        <v>8.699999999999999</v>
      </c>
    </row>
    <row r="597">
      <c r="B597" s="10" t="inlineStr">
        <is>
          <t>DEL</t>
        </is>
      </c>
      <c r="C597" s="10" t="inlineStr">
        <is>
          <t>VEH-DEL-010</t>
        </is>
      </c>
      <c r="D597" s="10" t="n">
        <v>10</v>
      </c>
      <c r="E597" s="10" t="inlineStr">
        <is>
          <t>ORD-DEL-002547</t>
        </is>
      </c>
      <c r="F597" s="10" t="inlineStr">
        <is>
          <t>ECOM_B2C</t>
        </is>
      </c>
      <c r="G597" s="10" t="inlineStr">
        <is>
          <t>Gurugram</t>
        </is>
      </c>
      <c r="H597" s="10" t="n">
        <v>12.47</v>
      </c>
      <c r="I597" s="10" t="n">
        <v>1080</v>
      </c>
      <c r="J597" s="10" t="n">
        <v>1200</v>
      </c>
      <c r="K597" s="12" t="n">
        <v>1112.3</v>
      </c>
      <c r="L597" s="12" t="n">
        <v>0</v>
      </c>
      <c r="M597" s="10" t="inlineStr">
        <is>
          <t>Yes</t>
        </is>
      </c>
      <c r="N597" s="11" t="n">
        <v>0.337</v>
      </c>
      <c r="O597" s="11" t="n">
        <v>0.456</v>
      </c>
      <c r="P597" s="12" t="n">
        <v>2</v>
      </c>
    </row>
    <row r="598">
      <c r="B598" s="16" t="inlineStr">
        <is>
          <t>DEL</t>
        </is>
      </c>
      <c r="C598" s="16" t="inlineStr">
        <is>
          <t>VEH-DEL-010</t>
        </is>
      </c>
      <c r="D598" s="16" t="n">
        <v>11</v>
      </c>
      <c r="E598" s="16" t="inlineStr">
        <is>
          <t>ORD-DEL-002453</t>
        </is>
      </c>
      <c r="F598" s="16" t="inlineStr">
        <is>
          <t>ECOM_B2C</t>
        </is>
      </c>
      <c r="G598" s="16" t="inlineStr">
        <is>
          <t>Gurugram</t>
        </is>
      </c>
      <c r="H598" s="16" t="n">
        <v>15.13</v>
      </c>
      <c r="I598" s="16" t="n">
        <v>1080</v>
      </c>
      <c r="J598" s="16" t="n">
        <v>1260</v>
      </c>
      <c r="K598" s="18" t="n">
        <v>1117.6</v>
      </c>
      <c r="L598" s="18" t="n">
        <v>0</v>
      </c>
      <c r="M598" s="16" t="inlineStr">
        <is>
          <t>Yes</t>
        </is>
      </c>
      <c r="N598" s="17" t="n">
        <v>0.225</v>
      </c>
      <c r="O598" s="17" t="n">
        <v>0.303</v>
      </c>
      <c r="P598" s="18" t="n">
        <v>1.3</v>
      </c>
    </row>
    <row r="599">
      <c r="B599" s="10" t="inlineStr">
        <is>
          <t>DEL</t>
        </is>
      </c>
      <c r="C599" s="10" t="inlineStr">
        <is>
          <t>VEH-DEL-010</t>
        </is>
      </c>
      <c r="D599" s="10" t="n">
        <v>12</v>
      </c>
      <c r="E599" s="10" t="inlineStr">
        <is>
          <t>ORD-DEL-002420</t>
        </is>
      </c>
      <c r="F599" s="10" t="inlineStr">
        <is>
          <t>ECOM_B2C</t>
        </is>
      </c>
      <c r="G599" s="10" t="inlineStr">
        <is>
          <t>Gurugram</t>
        </is>
      </c>
      <c r="H599" s="10" t="n">
        <v>2.04</v>
      </c>
      <c r="I599" s="10" t="n">
        <v>1080</v>
      </c>
      <c r="J599" s="10" t="n">
        <v>1260</v>
      </c>
      <c r="K599" s="12" t="n">
        <v>1124.9</v>
      </c>
      <c r="L599" s="12" t="n">
        <v>0</v>
      </c>
      <c r="M599" s="10" t="inlineStr">
        <is>
          <t>Yes</t>
        </is>
      </c>
      <c r="N599" s="11" t="n">
        <v>0.5610000000000001</v>
      </c>
      <c r="O599" s="11" t="n">
        <v>0.758</v>
      </c>
      <c r="P599" s="12" t="n">
        <v>3.3</v>
      </c>
    </row>
    <row r="600">
      <c r="B600" s="16" t="inlineStr">
        <is>
          <t>DEL</t>
        </is>
      </c>
      <c r="C600" s="16" t="inlineStr">
        <is>
          <t>VEH-DEL-011</t>
        </is>
      </c>
      <c r="D600" s="16" t="n">
        <v>1</v>
      </c>
      <c r="E600" s="16" t="inlineStr">
        <is>
          <t>ORD-DEL-002403</t>
        </is>
      </c>
      <c r="F600" s="16" t="inlineStr">
        <is>
          <t>ECOM_B2C</t>
        </is>
      </c>
      <c r="G600" s="16" t="inlineStr">
        <is>
          <t>Gurugram</t>
        </is>
      </c>
      <c r="H600" s="16" t="n">
        <v>4.34</v>
      </c>
      <c r="I600" s="16" t="n">
        <v>540</v>
      </c>
      <c r="J600" s="16" t="n">
        <v>720</v>
      </c>
      <c r="K600" s="18" t="n">
        <v>492.9</v>
      </c>
      <c r="L600" s="18" t="n">
        <v>0</v>
      </c>
      <c r="M600" s="16" t="inlineStr">
        <is>
          <t>Yes</t>
        </is>
      </c>
      <c r="N600" s="17" t="n">
        <v>20.356</v>
      </c>
      <c r="O600" s="17" t="n">
        <v>27.481</v>
      </c>
      <c r="P600" s="18" t="n">
        <v>58.9</v>
      </c>
    </row>
    <row r="601">
      <c r="B601" s="10" t="inlineStr">
        <is>
          <t>DEL</t>
        </is>
      </c>
      <c r="C601" s="10" t="inlineStr">
        <is>
          <t>VEH-DEL-011</t>
        </is>
      </c>
      <c r="D601" s="10" t="n">
        <v>2</v>
      </c>
      <c r="E601" s="10" t="inlineStr">
        <is>
          <t>ORD-DEL-002455</t>
        </is>
      </c>
      <c r="F601" s="10" t="inlineStr">
        <is>
          <t>ECOM_B2C</t>
        </is>
      </c>
      <c r="G601" s="10" t="inlineStr">
        <is>
          <t>Gurugram</t>
        </is>
      </c>
      <c r="H601" s="10" t="n">
        <v>3.69</v>
      </c>
      <c r="I601" s="10" t="n">
        <v>540</v>
      </c>
      <c r="J601" s="10" t="n">
        <v>720</v>
      </c>
      <c r="K601" s="12" t="n">
        <v>549</v>
      </c>
      <c r="L601" s="12" t="n">
        <v>0</v>
      </c>
      <c r="M601" s="10" t="inlineStr">
        <is>
          <t>Yes</t>
        </is>
      </c>
      <c r="N601" s="11" t="n">
        <v>0.968</v>
      </c>
      <c r="O601" s="11" t="n">
        <v>1.307</v>
      </c>
      <c r="P601" s="12" t="n">
        <v>5</v>
      </c>
    </row>
    <row r="602">
      <c r="B602" s="16" t="inlineStr">
        <is>
          <t>DEL</t>
        </is>
      </c>
      <c r="C602" s="16" t="inlineStr">
        <is>
          <t>VEH-DEL-011</t>
        </is>
      </c>
      <c r="D602" s="16" t="n">
        <v>3</v>
      </c>
      <c r="E602" s="16" t="inlineStr">
        <is>
          <t>ORD-DEL-002518</t>
        </is>
      </c>
      <c r="F602" s="16" t="inlineStr">
        <is>
          <t>ECOM_B2C</t>
        </is>
      </c>
      <c r="G602" s="16" t="inlineStr">
        <is>
          <t>Gurugram</t>
        </is>
      </c>
      <c r="H602" s="16" t="n">
        <v>14.66</v>
      </c>
      <c r="I602" s="16" t="n">
        <v>540</v>
      </c>
      <c r="J602" s="16" t="n">
        <v>720</v>
      </c>
      <c r="K602" s="18" t="n">
        <v>579.7</v>
      </c>
      <c r="L602" s="18" t="n">
        <v>0</v>
      </c>
      <c r="M602" s="16" t="inlineStr">
        <is>
          <t>Yes</t>
        </is>
      </c>
      <c r="N602" s="17" t="n">
        <v>5.111</v>
      </c>
      <c r="O602" s="17" t="n">
        <v>6.9</v>
      </c>
      <c r="P602" s="18" t="n">
        <v>26.6</v>
      </c>
    </row>
    <row r="603">
      <c r="B603" s="10" t="inlineStr">
        <is>
          <t>DEL</t>
        </is>
      </c>
      <c r="C603" s="10" t="inlineStr">
        <is>
          <t>VEH-DEL-011</t>
        </is>
      </c>
      <c r="D603" s="10" t="n">
        <v>4</v>
      </c>
      <c r="E603" s="10" t="inlineStr">
        <is>
          <t>ORD-DEL-002448</t>
        </is>
      </c>
      <c r="F603" s="10" t="inlineStr">
        <is>
          <t>ECOM_B2C</t>
        </is>
      </c>
      <c r="G603" s="10" t="inlineStr">
        <is>
          <t>Gurugram</t>
        </is>
      </c>
      <c r="H603" s="10" t="n">
        <v>1.76</v>
      </c>
      <c r="I603" s="10" t="n">
        <v>540</v>
      </c>
      <c r="J603" s="10" t="n">
        <v>720</v>
      </c>
      <c r="K603" s="12" t="n">
        <v>588.4</v>
      </c>
      <c r="L603" s="12" t="n">
        <v>0</v>
      </c>
      <c r="M603" s="10" t="inlineStr">
        <is>
          <t>Yes</t>
        </is>
      </c>
      <c r="N603" s="11" t="n">
        <v>0.902</v>
      </c>
      <c r="O603" s="11" t="n">
        <v>1.217</v>
      </c>
      <c r="P603" s="12" t="n">
        <v>4.7</v>
      </c>
    </row>
    <row r="604">
      <c r="B604" s="16" t="inlineStr">
        <is>
          <t>DEL</t>
        </is>
      </c>
      <c r="C604" s="16" t="inlineStr">
        <is>
          <t>VEH-DEL-011</t>
        </is>
      </c>
      <c r="D604" s="16" t="n">
        <v>5</v>
      </c>
      <c r="E604" s="16" t="inlineStr">
        <is>
          <t>ORD-DEL-002431</t>
        </is>
      </c>
      <c r="F604" s="16" t="inlineStr">
        <is>
          <t>ECOM_B2C</t>
        </is>
      </c>
      <c r="G604" s="16" t="inlineStr">
        <is>
          <t>South Delhi</t>
        </is>
      </c>
      <c r="H604" s="16" t="n">
        <v>6.91</v>
      </c>
      <c r="I604" s="16" t="n">
        <v>600</v>
      </c>
      <c r="J604" s="16" t="n">
        <v>720</v>
      </c>
      <c r="K604" s="18" t="n">
        <v>633.2</v>
      </c>
      <c r="L604" s="18" t="n">
        <v>0</v>
      </c>
      <c r="M604" s="16" t="inlineStr">
        <is>
          <t>Yes</t>
        </is>
      </c>
      <c r="N604" s="17" t="n">
        <v>7.838</v>
      </c>
      <c r="O604" s="17" t="n">
        <v>10.582</v>
      </c>
      <c r="P604" s="18" t="n">
        <v>40.9</v>
      </c>
    </row>
    <row r="605">
      <c r="B605" s="10" t="inlineStr">
        <is>
          <t>DEL</t>
        </is>
      </c>
      <c r="C605" s="10" t="inlineStr">
        <is>
          <t>VEH-DEL-011</t>
        </is>
      </c>
      <c r="D605" s="10" t="n">
        <v>6</v>
      </c>
      <c r="E605" s="10" t="inlineStr">
        <is>
          <t>ORD-DEL-002529</t>
        </is>
      </c>
      <c r="F605" s="10" t="inlineStr">
        <is>
          <t>ECOM_B2C</t>
        </is>
      </c>
      <c r="G605" s="10" t="inlineStr">
        <is>
          <t>South Delhi</t>
        </is>
      </c>
      <c r="H605" s="10" t="n">
        <v>3.77</v>
      </c>
      <c r="I605" s="10" t="n">
        <v>600</v>
      </c>
      <c r="J605" s="10" t="n">
        <v>720</v>
      </c>
      <c r="K605" s="12" t="n">
        <v>644.2</v>
      </c>
      <c r="L605" s="12" t="n">
        <v>0</v>
      </c>
      <c r="M605" s="10" t="inlineStr">
        <is>
          <t>Yes</t>
        </is>
      </c>
      <c r="N605" s="11" t="n">
        <v>1.337</v>
      </c>
      <c r="O605" s="11" t="n">
        <v>1.806</v>
      </c>
      <c r="P605" s="12" t="n">
        <v>7</v>
      </c>
    </row>
    <row r="606">
      <c r="B606" s="16" t="inlineStr">
        <is>
          <t>DEL</t>
        </is>
      </c>
      <c r="C606" s="16" t="inlineStr">
        <is>
          <t>VEH-DEL-011</t>
        </is>
      </c>
      <c r="D606" s="16" t="n">
        <v>7</v>
      </c>
      <c r="E606" s="16" t="inlineStr">
        <is>
          <t>ORD-DEL-002506</t>
        </is>
      </c>
      <c r="F606" s="16" t="inlineStr">
        <is>
          <t>ECOM_B2C</t>
        </is>
      </c>
      <c r="G606" s="16" t="inlineStr">
        <is>
          <t>South Delhi</t>
        </is>
      </c>
      <c r="H606" s="16" t="n">
        <v>17.16</v>
      </c>
      <c r="I606" s="16" t="n">
        <v>600</v>
      </c>
      <c r="J606" s="16" t="n">
        <v>720</v>
      </c>
      <c r="K606" s="18" t="n">
        <v>667.3</v>
      </c>
      <c r="L606" s="18" t="n">
        <v>0</v>
      </c>
      <c r="M606" s="16" t="inlineStr">
        <is>
          <t>Yes</t>
        </is>
      </c>
      <c r="N606" s="17" t="n">
        <v>3.659</v>
      </c>
      <c r="O606" s="17" t="n">
        <v>4.94</v>
      </c>
      <c r="P606" s="18" t="n">
        <v>19.1</v>
      </c>
    </row>
    <row r="607">
      <c r="B607" s="10" t="inlineStr">
        <is>
          <t>DEL</t>
        </is>
      </c>
      <c r="C607" s="10" t="inlineStr">
        <is>
          <t>VEH-DEL-011</t>
        </is>
      </c>
      <c r="D607" s="10" t="n">
        <v>8</v>
      </c>
      <c r="E607" s="10" t="inlineStr">
        <is>
          <t>ORD-DEL-002409</t>
        </is>
      </c>
      <c r="F607" s="10" t="inlineStr">
        <is>
          <t>ECOM_B2C</t>
        </is>
      </c>
      <c r="G607" s="10" t="inlineStr">
        <is>
          <t>South Delhi</t>
        </is>
      </c>
      <c r="H607" s="10" t="n">
        <v>2</v>
      </c>
      <c r="I607" s="10" t="n">
        <v>540</v>
      </c>
      <c r="J607" s="10" t="n">
        <v>720</v>
      </c>
      <c r="K607" s="12" t="n">
        <v>672.6</v>
      </c>
      <c r="L607" s="12" t="n">
        <v>0</v>
      </c>
      <c r="M607" s="10" t="inlineStr">
        <is>
          <t>Yes</t>
        </is>
      </c>
      <c r="N607" s="11" t="n">
        <v>0.412</v>
      </c>
      <c r="O607" s="11" t="n">
        <v>0.556</v>
      </c>
      <c r="P607" s="12" t="n">
        <v>1.3</v>
      </c>
    </row>
    <row r="608">
      <c r="B608" s="16" t="inlineStr">
        <is>
          <t>DEL</t>
        </is>
      </c>
      <c r="C608" s="16" t="inlineStr">
        <is>
          <t>VEH-DEL-011</t>
        </is>
      </c>
      <c r="D608" s="16" t="n">
        <v>9</v>
      </c>
      <c r="E608" s="16" t="inlineStr">
        <is>
          <t>ORD-DEL-002536</t>
        </is>
      </c>
      <c r="F608" s="16" t="inlineStr">
        <is>
          <t>ECOM_B2C</t>
        </is>
      </c>
      <c r="G608" s="16" t="inlineStr">
        <is>
          <t>South Delhi</t>
        </is>
      </c>
      <c r="H608" s="16" t="n">
        <v>8.029999999999999</v>
      </c>
      <c r="I608" s="16" t="n">
        <v>600</v>
      </c>
      <c r="J608" s="16" t="n">
        <v>720</v>
      </c>
      <c r="K608" s="18" t="n">
        <v>679.1</v>
      </c>
      <c r="L608" s="18" t="n">
        <v>0</v>
      </c>
      <c r="M608" s="16" t="inlineStr">
        <is>
          <t>Yes</t>
        </is>
      </c>
      <c r="N608" s="17" t="n">
        <v>0.789</v>
      </c>
      <c r="O608" s="17" t="n">
        <v>1.066</v>
      </c>
      <c r="P608" s="18" t="n">
        <v>2.5</v>
      </c>
    </row>
    <row r="609">
      <c r="B609" s="10" t="inlineStr">
        <is>
          <t>DEL</t>
        </is>
      </c>
      <c r="C609" s="10" t="inlineStr">
        <is>
          <t>VEH-DEL-011</t>
        </is>
      </c>
      <c r="D609" s="10" t="n">
        <v>10</v>
      </c>
      <c r="E609" s="10" t="inlineStr">
        <is>
          <t>ORD-DEL-002537</t>
        </is>
      </c>
      <c r="F609" s="10" t="inlineStr">
        <is>
          <t>ECOM_B2C</t>
        </is>
      </c>
      <c r="G609" s="10" t="inlineStr">
        <is>
          <t>South Delhi</t>
        </is>
      </c>
      <c r="H609" s="10" t="n">
        <v>3.3</v>
      </c>
      <c r="I609" s="10" t="n">
        <v>540</v>
      </c>
      <c r="J609" s="10" t="n">
        <v>720</v>
      </c>
      <c r="K609" s="12" t="n">
        <v>685</v>
      </c>
      <c r="L609" s="12" t="n">
        <v>0</v>
      </c>
      <c r="M609" s="10" t="inlineStr">
        <is>
          <t>Yes</t>
        </is>
      </c>
      <c r="N609" s="11" t="n">
        <v>0.607</v>
      </c>
      <c r="O609" s="11" t="n">
        <v>0.819</v>
      </c>
      <c r="P609" s="12" t="n">
        <v>1.9</v>
      </c>
    </row>
    <row r="610">
      <c r="B610" s="16" t="inlineStr">
        <is>
          <t>DEL</t>
        </is>
      </c>
      <c r="C610" s="16" t="inlineStr">
        <is>
          <t>VEH-DEL-011</t>
        </is>
      </c>
      <c r="D610" s="16" t="n">
        <v>11</v>
      </c>
      <c r="E610" s="16" t="inlineStr">
        <is>
          <t>ORD-DEL-002524</t>
        </is>
      </c>
      <c r="F610" s="16" t="inlineStr">
        <is>
          <t>ECOM_B2C</t>
        </is>
      </c>
      <c r="G610" s="16" t="inlineStr">
        <is>
          <t>South Delhi</t>
        </is>
      </c>
      <c r="H610" s="16" t="n">
        <v>13</v>
      </c>
      <c r="I610" s="16" t="n">
        <v>540</v>
      </c>
      <c r="J610" s="16" t="n">
        <v>720</v>
      </c>
      <c r="K610" s="18" t="n">
        <v>695.5</v>
      </c>
      <c r="L610" s="18" t="n">
        <v>0</v>
      </c>
      <c r="M610" s="16" t="inlineStr">
        <is>
          <t>Yes</t>
        </is>
      </c>
      <c r="N610" s="17" t="n">
        <v>2.042</v>
      </c>
      <c r="O610" s="17" t="n">
        <v>2.757</v>
      </c>
      <c r="P610" s="18" t="n">
        <v>6.5</v>
      </c>
    </row>
    <row r="611">
      <c r="B611" s="10" t="inlineStr">
        <is>
          <t>DEL</t>
        </is>
      </c>
      <c r="C611" s="10" t="inlineStr">
        <is>
          <t>VEH-DEL-012</t>
        </is>
      </c>
      <c r="D611" s="10" t="n">
        <v>1</v>
      </c>
      <c r="E611" s="10" t="inlineStr">
        <is>
          <t>ORD-DEL-002402</t>
        </is>
      </c>
      <c r="F611" s="10" t="inlineStr">
        <is>
          <t>ECOM_B2C</t>
        </is>
      </c>
      <c r="G611" s="10" t="inlineStr">
        <is>
          <t>South Delhi</t>
        </is>
      </c>
      <c r="H611" s="10" t="n">
        <v>10.21</v>
      </c>
      <c r="I611" s="10" t="n">
        <v>840</v>
      </c>
      <c r="J611" s="10" t="n">
        <v>960</v>
      </c>
      <c r="K611" s="12" t="n">
        <v>840</v>
      </c>
      <c r="L611" s="12" t="n">
        <v>0</v>
      </c>
      <c r="M611" s="10" t="inlineStr">
        <is>
          <t>Yes</t>
        </is>
      </c>
      <c r="N611" s="11" t="n">
        <v>4.349</v>
      </c>
      <c r="O611" s="11" t="n">
        <v>5.871</v>
      </c>
      <c r="P611" s="12" t="n">
        <v>12.9</v>
      </c>
    </row>
    <row r="612">
      <c r="B612" s="16" t="inlineStr">
        <is>
          <t>DEL</t>
        </is>
      </c>
      <c r="C612" s="16" t="inlineStr">
        <is>
          <t>VEH-DEL-012</t>
        </is>
      </c>
      <c r="D612" s="16" t="n">
        <v>2</v>
      </c>
      <c r="E612" s="16" t="inlineStr">
        <is>
          <t>ORD-DEL-002428</t>
        </is>
      </c>
      <c r="F612" s="16" t="inlineStr">
        <is>
          <t>ECOM_B2C</t>
        </is>
      </c>
      <c r="G612" s="16" t="inlineStr">
        <is>
          <t>South Delhi</t>
        </is>
      </c>
      <c r="H612" s="16" t="n">
        <v>9.869999999999999</v>
      </c>
      <c r="I612" s="16" t="n">
        <v>840</v>
      </c>
      <c r="J612" s="16" t="n">
        <v>960</v>
      </c>
      <c r="K612" s="18" t="n">
        <v>846</v>
      </c>
      <c r="L612" s="18" t="n">
        <v>0</v>
      </c>
      <c r="M612" s="16" t="inlineStr">
        <is>
          <t>Yes</t>
        </is>
      </c>
      <c r="N612" s="17" t="n">
        <v>0.6899999999999999</v>
      </c>
      <c r="O612" s="17" t="n">
        <v>0.931</v>
      </c>
      <c r="P612" s="18" t="n">
        <v>2</v>
      </c>
    </row>
    <row r="613">
      <c r="B613" s="10" t="inlineStr">
        <is>
          <t>DEL</t>
        </is>
      </c>
      <c r="C613" s="10" t="inlineStr">
        <is>
          <t>VEH-DEL-012</t>
        </is>
      </c>
      <c r="D613" s="10" t="n">
        <v>3</v>
      </c>
      <c r="E613" s="10" t="inlineStr">
        <is>
          <t>ORD-DEL-002458</t>
        </is>
      </c>
      <c r="F613" s="10" t="inlineStr">
        <is>
          <t>ECOM_B2C</t>
        </is>
      </c>
      <c r="G613" s="10" t="inlineStr">
        <is>
          <t>South Delhi</t>
        </is>
      </c>
      <c r="H613" s="10" t="n">
        <v>1.59</v>
      </c>
      <c r="I613" s="10" t="n">
        <v>720</v>
      </c>
      <c r="J613" s="10" t="n">
        <v>900</v>
      </c>
      <c r="K613" s="12" t="n">
        <v>850</v>
      </c>
      <c r="L613" s="12" t="n">
        <v>0</v>
      </c>
      <c r="M613" s="10" t="inlineStr">
        <is>
          <t>Yes</t>
        </is>
      </c>
      <c r="N613" s="11" t="n">
        <v>0</v>
      </c>
      <c r="O613" s="11" t="n">
        <v>0</v>
      </c>
      <c r="P613" s="12" t="n">
        <v>0</v>
      </c>
    </row>
    <row r="614">
      <c r="B614" s="16" t="inlineStr">
        <is>
          <t>DEL</t>
        </is>
      </c>
      <c r="C614" s="16" t="inlineStr">
        <is>
          <t>VEH-DEL-012</t>
        </is>
      </c>
      <c r="D614" s="16" t="n">
        <v>4</v>
      </c>
      <c r="E614" s="16" t="inlineStr">
        <is>
          <t>ORD-DEL-002429</t>
        </is>
      </c>
      <c r="F614" s="16" t="inlineStr">
        <is>
          <t>ECOM_B2C</t>
        </is>
      </c>
      <c r="G614" s="16" t="inlineStr">
        <is>
          <t>South Delhi</t>
        </is>
      </c>
      <c r="H614" s="16" t="n">
        <v>9.74</v>
      </c>
      <c r="I614" s="16" t="n">
        <v>720</v>
      </c>
      <c r="J614" s="16" t="n">
        <v>900</v>
      </c>
      <c r="K614" s="18" t="n">
        <v>854</v>
      </c>
      <c r="L614" s="18" t="n">
        <v>0</v>
      </c>
      <c r="M614" s="16" t="inlineStr">
        <is>
          <t>Yes</t>
        </is>
      </c>
      <c r="N614" s="17" t="n">
        <v>0</v>
      </c>
      <c r="O614" s="17" t="n">
        <v>0</v>
      </c>
      <c r="P614" s="18" t="n">
        <v>0</v>
      </c>
    </row>
    <row r="615">
      <c r="B615" s="10" t="inlineStr">
        <is>
          <t>DEL</t>
        </is>
      </c>
      <c r="C615" s="10" t="inlineStr">
        <is>
          <t>VEH-DEL-012</t>
        </is>
      </c>
      <c r="D615" s="10" t="n">
        <v>5</v>
      </c>
      <c r="E615" s="10" t="inlineStr">
        <is>
          <t>ORD-DEL-002550</t>
        </is>
      </c>
      <c r="F615" s="10" t="inlineStr">
        <is>
          <t>ECOM_B2C</t>
        </is>
      </c>
      <c r="G615" s="10" t="inlineStr">
        <is>
          <t>Central Delhi</t>
        </is>
      </c>
      <c r="H615" s="10" t="n">
        <v>3.1</v>
      </c>
      <c r="I615" s="10" t="n">
        <v>720</v>
      </c>
      <c r="J615" s="10" t="n">
        <v>900</v>
      </c>
      <c r="K615" s="12" t="n">
        <v>883.5</v>
      </c>
      <c r="L615" s="12" t="n">
        <v>0</v>
      </c>
      <c r="M615" s="10" t="inlineStr">
        <is>
          <t>Yes</t>
        </is>
      </c>
      <c r="N615" s="11" t="n">
        <v>8.372</v>
      </c>
      <c r="O615" s="11" t="n">
        <v>11.302</v>
      </c>
      <c r="P615" s="12" t="n">
        <v>25.5</v>
      </c>
    </row>
    <row r="616">
      <c r="B616" s="16" t="inlineStr">
        <is>
          <t>DEL</t>
        </is>
      </c>
      <c r="C616" s="16" t="inlineStr">
        <is>
          <t>VEH-DEL-012</t>
        </is>
      </c>
      <c r="D616" s="16" t="n">
        <v>6</v>
      </c>
      <c r="E616" s="16" t="inlineStr">
        <is>
          <t>ORD-DEL-002539</t>
        </is>
      </c>
      <c r="F616" s="16" t="inlineStr">
        <is>
          <t>ECOM_B2C</t>
        </is>
      </c>
      <c r="G616" s="16" t="inlineStr">
        <is>
          <t>Central Delhi</t>
        </is>
      </c>
      <c r="H616" s="16" t="n">
        <v>2.11</v>
      </c>
      <c r="I616" s="16" t="n">
        <v>720</v>
      </c>
      <c r="J616" s="16" t="n">
        <v>900</v>
      </c>
      <c r="K616" s="18" t="n">
        <v>888.9</v>
      </c>
      <c r="L616" s="18" t="n">
        <v>0</v>
      </c>
      <c r="M616" s="16" t="inlineStr">
        <is>
          <t>Yes</t>
        </is>
      </c>
      <c r="N616" s="17" t="n">
        <v>0.455</v>
      </c>
      <c r="O616" s="17" t="n">
        <v>0.614</v>
      </c>
      <c r="P616" s="18" t="n">
        <v>1.4</v>
      </c>
    </row>
    <row r="617">
      <c r="B617" s="10" t="inlineStr">
        <is>
          <t>DEL</t>
        </is>
      </c>
      <c r="C617" s="10" t="inlineStr">
        <is>
          <t>VEH-DEL-012</t>
        </is>
      </c>
      <c r="D617" s="10" t="n">
        <v>7</v>
      </c>
      <c r="E617" s="10" t="inlineStr">
        <is>
          <t>ORD-DEL-002522</t>
        </is>
      </c>
      <c r="F617" s="10" t="inlineStr">
        <is>
          <t>ECOM_B2C</t>
        </is>
      </c>
      <c r="G617" s="10" t="inlineStr">
        <is>
          <t>Central Delhi</t>
        </is>
      </c>
      <c r="H617" s="10" t="n">
        <v>3.69</v>
      </c>
      <c r="I617" s="10" t="n">
        <v>840</v>
      </c>
      <c r="J617" s="10" t="n">
        <v>960</v>
      </c>
      <c r="K617" s="12" t="n">
        <v>897.6</v>
      </c>
      <c r="L617" s="12" t="n">
        <v>0</v>
      </c>
      <c r="M617" s="10" t="inlineStr">
        <is>
          <t>Yes</t>
        </is>
      </c>
      <c r="N617" s="11" t="n">
        <v>1.559</v>
      </c>
      <c r="O617" s="11" t="n">
        <v>2.105</v>
      </c>
      <c r="P617" s="12" t="n">
        <v>4.7</v>
      </c>
    </row>
    <row r="618">
      <c r="B618" s="16" t="inlineStr">
        <is>
          <t>DEL</t>
        </is>
      </c>
      <c r="C618" s="16" t="inlineStr">
        <is>
          <t>VEH-DEL-012</t>
        </is>
      </c>
      <c r="D618" s="16" t="n">
        <v>8</v>
      </c>
      <c r="E618" s="16" t="inlineStr">
        <is>
          <t>ORD-DEL-002564</t>
        </is>
      </c>
      <c r="F618" s="16" t="inlineStr">
        <is>
          <t>ECOM_B2C</t>
        </is>
      </c>
      <c r="G618" s="16" t="inlineStr">
        <is>
          <t>Central Delhi</t>
        </is>
      </c>
      <c r="H618" s="16" t="n">
        <v>1.8</v>
      </c>
      <c r="I618" s="16" t="n">
        <v>900</v>
      </c>
      <c r="J618" s="16" t="n">
        <v>1080</v>
      </c>
      <c r="K618" s="18" t="n">
        <v>902.8</v>
      </c>
      <c r="L618" s="18" t="n">
        <v>0</v>
      </c>
      <c r="M618" s="16" t="inlineStr">
        <is>
          <t>Yes</t>
        </is>
      </c>
      <c r="N618" s="17" t="n">
        <v>0.392</v>
      </c>
      <c r="O618" s="17" t="n">
        <v>0.529</v>
      </c>
      <c r="P618" s="18" t="n">
        <v>1.2</v>
      </c>
    </row>
    <row r="619">
      <c r="B619" s="10" t="inlineStr">
        <is>
          <t>DEL</t>
        </is>
      </c>
      <c r="C619" s="10" t="inlineStr">
        <is>
          <t>VEH-DEL-012</t>
        </is>
      </c>
      <c r="D619" s="10" t="n">
        <v>9</v>
      </c>
      <c r="E619" s="10" t="inlineStr">
        <is>
          <t>ORD-DEL-002436</t>
        </is>
      </c>
      <c r="F619" s="10" t="inlineStr">
        <is>
          <t>ECOM_B2C</t>
        </is>
      </c>
      <c r="G619" s="10" t="inlineStr">
        <is>
          <t>Central Delhi</t>
        </is>
      </c>
      <c r="H619" s="10" t="n">
        <v>0.36</v>
      </c>
      <c r="I619" s="10" t="n">
        <v>900</v>
      </c>
      <c r="J619" s="10" t="n">
        <v>1080</v>
      </c>
      <c r="K619" s="12" t="n">
        <v>911.4</v>
      </c>
      <c r="L619" s="12" t="n">
        <v>0</v>
      </c>
      <c r="M619" s="10" t="inlineStr">
        <is>
          <t>Yes</t>
        </is>
      </c>
      <c r="N619" s="11" t="n">
        <v>1.495</v>
      </c>
      <c r="O619" s="11" t="n">
        <v>2.018</v>
      </c>
      <c r="P619" s="12" t="n">
        <v>4.5</v>
      </c>
    </row>
    <row r="620">
      <c r="B620" s="16" t="inlineStr">
        <is>
          <t>DEL</t>
        </is>
      </c>
      <c r="C620" s="16" t="inlineStr">
        <is>
          <t>VEH-DEL-012</t>
        </is>
      </c>
      <c r="D620" s="16" t="n">
        <v>10</v>
      </c>
      <c r="E620" s="16" t="inlineStr">
        <is>
          <t>ORD-DEL-002464</t>
        </is>
      </c>
      <c r="F620" s="16" t="inlineStr">
        <is>
          <t>ECOM_B2C</t>
        </is>
      </c>
      <c r="G620" s="16" t="inlineStr">
        <is>
          <t>Central Delhi</t>
        </is>
      </c>
      <c r="H620" s="16" t="n">
        <v>4.03</v>
      </c>
      <c r="I620" s="16" t="n">
        <v>900</v>
      </c>
      <c r="J620" s="16" t="n">
        <v>1080</v>
      </c>
      <c r="K620" s="18" t="n">
        <v>920.7</v>
      </c>
      <c r="L620" s="18" t="n">
        <v>0</v>
      </c>
      <c r="M620" s="16" t="inlineStr">
        <is>
          <t>Yes</t>
        </is>
      </c>
      <c r="N620" s="17" t="n">
        <v>1.743</v>
      </c>
      <c r="O620" s="17" t="n">
        <v>2.353</v>
      </c>
      <c r="P620" s="18" t="n">
        <v>5.3</v>
      </c>
    </row>
    <row r="621">
      <c r="B621" s="10" t="inlineStr">
        <is>
          <t>DEL</t>
        </is>
      </c>
      <c r="C621" s="10" t="inlineStr">
        <is>
          <t>VEH-DEL-012</t>
        </is>
      </c>
      <c r="D621" s="10" t="n">
        <v>11</v>
      </c>
      <c r="E621" s="10" t="inlineStr">
        <is>
          <t>ORD-DEL-002504</t>
        </is>
      </c>
      <c r="F621" s="10" t="inlineStr">
        <is>
          <t>ECOM_B2C</t>
        </is>
      </c>
      <c r="G621" s="10" t="inlineStr">
        <is>
          <t>Central Delhi</t>
        </is>
      </c>
      <c r="H621" s="10" t="n">
        <v>6.94</v>
      </c>
      <c r="I621" s="10" t="n">
        <v>900</v>
      </c>
      <c r="J621" s="10" t="n">
        <v>1080</v>
      </c>
      <c r="K621" s="12" t="n">
        <v>927.1</v>
      </c>
      <c r="L621" s="12" t="n">
        <v>0</v>
      </c>
      <c r="M621" s="10" t="inlineStr">
        <is>
          <t>Yes</t>
        </is>
      </c>
      <c r="N621" s="11" t="n">
        <v>0.805</v>
      </c>
      <c r="O621" s="11" t="n">
        <v>1.086</v>
      </c>
      <c r="P621" s="12" t="n">
        <v>2.4</v>
      </c>
    </row>
    <row r="622">
      <c r="B622" s="16" t="inlineStr">
        <is>
          <t>DEL</t>
        </is>
      </c>
      <c r="C622" s="16" t="inlineStr">
        <is>
          <t>VEH-DEL-012</t>
        </is>
      </c>
      <c r="D622" s="16" t="n">
        <v>12</v>
      </c>
      <c r="E622" s="16" t="inlineStr">
        <is>
          <t>ORD-DEL-002472</t>
        </is>
      </c>
      <c r="F622" s="16" t="inlineStr">
        <is>
          <t>ECOM_B2C</t>
        </is>
      </c>
      <c r="G622" s="16" t="inlineStr">
        <is>
          <t>West Delhi</t>
        </is>
      </c>
      <c r="H622" s="16" t="n">
        <v>9.52</v>
      </c>
      <c r="I622" s="16" t="n">
        <v>840</v>
      </c>
      <c r="J622" s="16" t="n">
        <v>960</v>
      </c>
      <c r="K622" s="18" t="n">
        <v>943.8</v>
      </c>
      <c r="L622" s="18" t="n">
        <v>0</v>
      </c>
      <c r="M622" s="16" t="inlineStr">
        <is>
          <t>Yes</t>
        </is>
      </c>
      <c r="N622" s="17" t="n">
        <v>4.215</v>
      </c>
      <c r="O622" s="17" t="n">
        <v>5.69</v>
      </c>
      <c r="P622" s="18" t="n">
        <v>12.6</v>
      </c>
    </row>
    <row r="623">
      <c r="B623" s="10" t="inlineStr">
        <is>
          <t>DEL</t>
        </is>
      </c>
      <c r="C623" s="10" t="inlineStr">
        <is>
          <t>VEH-DEL-012</t>
        </is>
      </c>
      <c r="D623" s="10" t="n">
        <v>13</v>
      </c>
      <c r="E623" s="10" t="inlineStr">
        <is>
          <t>ORD-DEL-002405</t>
        </is>
      </c>
      <c r="F623" s="10" t="inlineStr">
        <is>
          <t>ECOM_B2C</t>
        </is>
      </c>
      <c r="G623" s="10" t="inlineStr">
        <is>
          <t>West Delhi</t>
        </is>
      </c>
      <c r="H623" s="10" t="n">
        <v>2.08</v>
      </c>
      <c r="I623" s="10" t="n">
        <v>840</v>
      </c>
      <c r="J623" s="10" t="n">
        <v>960</v>
      </c>
      <c r="K623" s="12" t="n">
        <v>951.6</v>
      </c>
      <c r="L623" s="12" t="n">
        <v>0</v>
      </c>
      <c r="M623" s="10" t="inlineStr">
        <is>
          <t>Yes</t>
        </is>
      </c>
      <c r="N623" s="11" t="n">
        <v>1.282</v>
      </c>
      <c r="O623" s="11" t="n">
        <v>1.73</v>
      </c>
      <c r="P623" s="12" t="n">
        <v>3.8</v>
      </c>
    </row>
    <row r="624">
      <c r="B624" s="16" t="inlineStr">
        <is>
          <t>DEL</t>
        </is>
      </c>
      <c r="C624" s="16" t="inlineStr">
        <is>
          <t>VEH-DEL-012</t>
        </is>
      </c>
      <c r="D624" s="16" t="n">
        <v>14</v>
      </c>
      <c r="E624" s="16" t="inlineStr">
        <is>
          <t>ORD-DEL-002492</t>
        </is>
      </c>
      <c r="F624" s="16" t="inlineStr">
        <is>
          <t>ECOM_B2C</t>
        </is>
      </c>
      <c r="G624" s="16" t="inlineStr">
        <is>
          <t>West Delhi</t>
        </is>
      </c>
      <c r="H624" s="16" t="n">
        <v>3.68</v>
      </c>
      <c r="I624" s="16" t="n">
        <v>900</v>
      </c>
      <c r="J624" s="16" t="n">
        <v>1080</v>
      </c>
      <c r="K624" s="18" t="n">
        <v>962.1</v>
      </c>
      <c r="L624" s="18" t="n">
        <v>0</v>
      </c>
      <c r="M624" s="16" t="inlineStr">
        <is>
          <t>Yes</t>
        </is>
      </c>
      <c r="N624" s="17" t="n">
        <v>2.168</v>
      </c>
      <c r="O624" s="17" t="n">
        <v>2.927</v>
      </c>
      <c r="P624" s="18" t="n">
        <v>6.5</v>
      </c>
    </row>
    <row r="625">
      <c r="B625" s="10" t="inlineStr">
        <is>
          <t>DEL</t>
        </is>
      </c>
      <c r="C625" s="10" t="inlineStr">
        <is>
          <t>VEH-DEL-012</t>
        </is>
      </c>
      <c r="D625" s="10" t="n">
        <v>15</v>
      </c>
      <c r="E625" s="10" t="inlineStr">
        <is>
          <t>ORD-DEL-002456</t>
        </is>
      </c>
      <c r="F625" s="10" t="inlineStr">
        <is>
          <t>ECOM_B2C</t>
        </is>
      </c>
      <c r="G625" s="10" t="inlineStr">
        <is>
          <t>West Delhi</t>
        </is>
      </c>
      <c r="H625" s="10" t="n">
        <v>4.75</v>
      </c>
      <c r="I625" s="10" t="n">
        <v>900</v>
      </c>
      <c r="J625" s="10" t="n">
        <v>1080</v>
      </c>
      <c r="K625" s="12" t="n">
        <v>974</v>
      </c>
      <c r="L625" s="12" t="n">
        <v>0</v>
      </c>
      <c r="M625" s="10" t="inlineStr">
        <is>
          <t>Yes</t>
        </is>
      </c>
      <c r="N625" s="11" t="n">
        <v>2.622</v>
      </c>
      <c r="O625" s="11" t="n">
        <v>3.539</v>
      </c>
      <c r="P625" s="12" t="n">
        <v>7.9</v>
      </c>
    </row>
    <row r="626">
      <c r="B626" s="16" t="inlineStr">
        <is>
          <t>DEL</t>
        </is>
      </c>
      <c r="C626" s="16" t="inlineStr">
        <is>
          <t>VEH-DEL-012</t>
        </is>
      </c>
      <c r="D626" s="16" t="n">
        <v>16</v>
      </c>
      <c r="E626" s="16" t="inlineStr">
        <is>
          <t>ORD-DEL-002462</t>
        </is>
      </c>
      <c r="F626" s="16" t="inlineStr">
        <is>
          <t>ECOM_B2C</t>
        </is>
      </c>
      <c r="G626" s="16" t="inlineStr">
        <is>
          <t>West Delhi</t>
        </is>
      </c>
      <c r="H626" s="16" t="n">
        <v>0.34</v>
      </c>
      <c r="I626" s="16" t="n">
        <v>900</v>
      </c>
      <c r="J626" s="16" t="n">
        <v>1080</v>
      </c>
      <c r="K626" s="18" t="n">
        <v>979.3</v>
      </c>
      <c r="L626" s="18" t="n">
        <v>0</v>
      </c>
      <c r="M626" s="16" t="inlineStr">
        <is>
          <t>Yes</t>
        </is>
      </c>
      <c r="N626" s="17" t="n">
        <v>0.424</v>
      </c>
      <c r="O626" s="17" t="n">
        <v>0.573</v>
      </c>
      <c r="P626" s="18" t="n">
        <v>1.3</v>
      </c>
    </row>
    <row r="627">
      <c r="B627" s="10" t="inlineStr">
        <is>
          <t>DEL</t>
        </is>
      </c>
      <c r="C627" s="10" t="inlineStr">
        <is>
          <t>VEH-DEL-012</t>
        </is>
      </c>
      <c r="D627" s="10" t="n">
        <v>17</v>
      </c>
      <c r="E627" s="10" t="inlineStr">
        <is>
          <t>ORD-DEL-002419</t>
        </is>
      </c>
      <c r="F627" s="10" t="inlineStr">
        <is>
          <t>ECOM_B2C</t>
        </is>
      </c>
      <c r="G627" s="10" t="inlineStr">
        <is>
          <t>West Delhi</t>
        </is>
      </c>
      <c r="H627" s="10" t="n">
        <v>3.57</v>
      </c>
      <c r="I627" s="10" t="n">
        <v>900</v>
      </c>
      <c r="J627" s="10" t="n">
        <v>1080</v>
      </c>
      <c r="K627" s="12" t="n">
        <v>983.5</v>
      </c>
      <c r="L627" s="12" t="n">
        <v>0</v>
      </c>
      <c r="M627" s="10" t="inlineStr">
        <is>
          <t>Yes</t>
        </is>
      </c>
      <c r="N627" s="11" t="n">
        <v>0.07000000000000001</v>
      </c>
      <c r="O627" s="11" t="n">
        <v>0.095</v>
      </c>
      <c r="P627" s="12" t="n">
        <v>0.2</v>
      </c>
    </row>
    <row r="628">
      <c r="B628" s="16" t="inlineStr">
        <is>
          <t>DEL</t>
        </is>
      </c>
      <c r="C628" s="16" t="inlineStr">
        <is>
          <t>VEH-DEL-012</t>
        </is>
      </c>
      <c r="D628" s="16" t="n">
        <v>18</v>
      </c>
      <c r="E628" s="16" t="inlineStr">
        <is>
          <t>ORD-DEL-002525</t>
        </is>
      </c>
      <c r="F628" s="16" t="inlineStr">
        <is>
          <t>ECOM_B2C</t>
        </is>
      </c>
      <c r="G628" s="16" t="inlineStr">
        <is>
          <t>West Delhi</t>
        </is>
      </c>
      <c r="H628" s="16" t="n">
        <v>0.73</v>
      </c>
      <c r="I628" s="16" t="n">
        <v>900</v>
      </c>
      <c r="J628" s="16" t="n">
        <v>1080</v>
      </c>
      <c r="K628" s="18" t="n">
        <v>988</v>
      </c>
      <c r="L628" s="18" t="n">
        <v>0</v>
      </c>
      <c r="M628" s="16" t="inlineStr">
        <is>
          <t>Yes</t>
        </is>
      </c>
      <c r="N628" s="17" t="n">
        <v>0.154</v>
      </c>
      <c r="O628" s="17" t="n">
        <v>0.207</v>
      </c>
      <c r="P628" s="18" t="n">
        <v>0.5</v>
      </c>
    </row>
    <row r="629">
      <c r="B629" s="10" t="inlineStr">
        <is>
          <t>DEL</t>
        </is>
      </c>
      <c r="C629" s="10" t="inlineStr">
        <is>
          <t>VEH-DEL-012</t>
        </is>
      </c>
      <c r="D629" s="10" t="n">
        <v>19</v>
      </c>
      <c r="E629" s="10" t="inlineStr">
        <is>
          <t>ORD-DEL-002467</t>
        </is>
      </c>
      <c r="F629" s="10" t="inlineStr">
        <is>
          <t>ECOM_B2C</t>
        </is>
      </c>
      <c r="G629" s="10" t="inlineStr">
        <is>
          <t>West Delhi</t>
        </is>
      </c>
      <c r="H629" s="10" t="n">
        <v>4.3</v>
      </c>
      <c r="I629" s="10" t="n">
        <v>900</v>
      </c>
      <c r="J629" s="10" t="n">
        <v>1080</v>
      </c>
      <c r="K629" s="12" t="n">
        <v>993.7</v>
      </c>
      <c r="L629" s="12" t="n">
        <v>0</v>
      </c>
      <c r="M629" s="10" t="inlineStr">
        <is>
          <t>Yes</t>
        </is>
      </c>
      <c r="N629" s="11" t="n">
        <v>0.599</v>
      </c>
      <c r="O629" s="11" t="n">
        <v>0.8080000000000001</v>
      </c>
      <c r="P629" s="12" t="n">
        <v>1.8</v>
      </c>
    </row>
    <row r="630">
      <c r="B630" s="16" t="inlineStr">
        <is>
          <t>DEL</t>
        </is>
      </c>
      <c r="C630" s="16" t="inlineStr">
        <is>
          <t>VEH-DEL-012</t>
        </is>
      </c>
      <c r="D630" s="16" t="n">
        <v>20</v>
      </c>
      <c r="E630" s="16" t="inlineStr">
        <is>
          <t>ORD-DEL-002561</t>
        </is>
      </c>
      <c r="F630" s="16" t="inlineStr">
        <is>
          <t>ECOM_B2C</t>
        </is>
      </c>
      <c r="G630" s="16" t="inlineStr">
        <is>
          <t>West Delhi</t>
        </is>
      </c>
      <c r="H630" s="16" t="n">
        <v>1.15</v>
      </c>
      <c r="I630" s="16" t="n">
        <v>900</v>
      </c>
      <c r="J630" s="16" t="n">
        <v>1080</v>
      </c>
      <c r="K630" s="18" t="n">
        <v>997.7</v>
      </c>
      <c r="L630" s="18" t="n">
        <v>0</v>
      </c>
      <c r="M630" s="16" t="inlineStr">
        <is>
          <t>Yes</t>
        </is>
      </c>
      <c r="N630" s="17" t="n">
        <v>0</v>
      </c>
      <c r="O630" s="17" t="n">
        <v>0</v>
      </c>
      <c r="P630" s="18" t="n">
        <v>0</v>
      </c>
    </row>
    <row r="631">
      <c r="B631" s="10" t="inlineStr">
        <is>
          <t>DEL</t>
        </is>
      </c>
      <c r="C631" s="10" t="inlineStr">
        <is>
          <t>VEH-DEL-012</t>
        </is>
      </c>
      <c r="D631" s="10" t="n">
        <v>21</v>
      </c>
      <c r="E631" s="10" t="inlineStr">
        <is>
          <t>ORD-DEL-002556</t>
        </is>
      </c>
      <c r="F631" s="10" t="inlineStr">
        <is>
          <t>ECOM_B2C</t>
        </is>
      </c>
      <c r="G631" s="10" t="inlineStr">
        <is>
          <t>West Delhi</t>
        </is>
      </c>
      <c r="H631" s="10" t="n">
        <v>14.61</v>
      </c>
      <c r="I631" s="10" t="n">
        <v>1080</v>
      </c>
      <c r="J631" s="10" t="n">
        <v>1260</v>
      </c>
      <c r="K631" s="12" t="n">
        <v>1003.1</v>
      </c>
      <c r="L631" s="12" t="n">
        <v>0</v>
      </c>
      <c r="M631" s="10" t="inlineStr">
        <is>
          <t>Yes</t>
        </is>
      </c>
      <c r="N631" s="11" t="n">
        <v>0.463</v>
      </c>
      <c r="O631" s="11" t="n">
        <v>0.624</v>
      </c>
      <c r="P631" s="12" t="n">
        <v>1.4</v>
      </c>
    </row>
    <row r="632">
      <c r="B632" s="16" t="inlineStr">
        <is>
          <t>DEL</t>
        </is>
      </c>
      <c r="C632" s="16" t="inlineStr">
        <is>
          <t>VEH-DEL-012</t>
        </is>
      </c>
      <c r="D632" s="16" t="n">
        <v>22</v>
      </c>
      <c r="E632" s="16" t="inlineStr">
        <is>
          <t>ORD-DEL-002450</t>
        </is>
      </c>
      <c r="F632" s="16" t="inlineStr">
        <is>
          <t>ECOM_B2C</t>
        </is>
      </c>
      <c r="G632" s="16" t="inlineStr">
        <is>
          <t>West Delhi</t>
        </is>
      </c>
      <c r="H632" s="16" t="n">
        <v>19.6</v>
      </c>
      <c r="I632" s="16" t="n">
        <v>1080</v>
      </c>
      <c r="J632" s="16" t="n">
        <v>1260</v>
      </c>
      <c r="K632" s="18" t="n">
        <v>1087.3</v>
      </c>
      <c r="L632" s="18" t="n">
        <v>0</v>
      </c>
      <c r="M632" s="16" t="inlineStr">
        <is>
          <t>Yes</t>
        </is>
      </c>
      <c r="N632" s="17" t="n">
        <v>0.551</v>
      </c>
      <c r="O632" s="17" t="n">
        <v>0.744</v>
      </c>
      <c r="P632" s="18" t="n">
        <v>3.3</v>
      </c>
    </row>
    <row r="633">
      <c r="B633" s="10" t="inlineStr">
        <is>
          <t>DEL</t>
        </is>
      </c>
      <c r="C633" s="10" t="inlineStr">
        <is>
          <t>VEH-DEL-012</t>
        </is>
      </c>
      <c r="D633" s="10" t="n">
        <v>23</v>
      </c>
      <c r="E633" s="10" t="inlineStr">
        <is>
          <t>ORD-DEL-002489</t>
        </is>
      </c>
      <c r="F633" s="10" t="inlineStr">
        <is>
          <t>ECOM_B2C</t>
        </is>
      </c>
      <c r="G633" s="10" t="inlineStr">
        <is>
          <t>West Delhi</t>
        </is>
      </c>
      <c r="H633" s="10" t="n">
        <v>3.3</v>
      </c>
      <c r="I633" s="10" t="n">
        <v>1080</v>
      </c>
      <c r="J633" s="10" t="n">
        <v>1200</v>
      </c>
      <c r="K633" s="12" t="n">
        <v>1095.6</v>
      </c>
      <c r="L633" s="12" t="n">
        <v>0</v>
      </c>
      <c r="M633" s="10" t="inlineStr">
        <is>
          <t>Yes</t>
        </is>
      </c>
      <c r="N633" s="11" t="n">
        <v>0.721</v>
      </c>
      <c r="O633" s="11" t="n">
        <v>0.974</v>
      </c>
      <c r="P633" s="12" t="n">
        <v>4.3</v>
      </c>
    </row>
    <row r="634">
      <c r="B634" s="16" t="inlineStr">
        <is>
          <t>DEL</t>
        </is>
      </c>
      <c r="C634" s="16" t="inlineStr">
        <is>
          <t>VEH-DEL-012</t>
        </is>
      </c>
      <c r="D634" s="16" t="n">
        <v>24</v>
      </c>
      <c r="E634" s="16" t="inlineStr">
        <is>
          <t>ORD-DEL-002427</t>
        </is>
      </c>
      <c r="F634" s="16" t="inlineStr">
        <is>
          <t>ECOM_B2C</t>
        </is>
      </c>
      <c r="G634" s="16" t="inlineStr">
        <is>
          <t>West Delhi</t>
        </is>
      </c>
      <c r="H634" s="16" t="n">
        <v>1.05</v>
      </c>
      <c r="I634" s="16" t="n">
        <v>1080</v>
      </c>
      <c r="J634" s="16" t="n">
        <v>1260</v>
      </c>
      <c r="K634" s="18" t="n">
        <v>1104.9</v>
      </c>
      <c r="L634" s="18" t="n">
        <v>0</v>
      </c>
      <c r="M634" s="16" t="inlineStr">
        <is>
          <t>Yes</t>
        </is>
      </c>
      <c r="N634" s="17" t="n">
        <v>0.877</v>
      </c>
      <c r="O634" s="17" t="n">
        <v>1.184</v>
      </c>
      <c r="P634" s="18" t="n">
        <v>5.3</v>
      </c>
    </row>
    <row r="635">
      <c r="B635" s="10" t="inlineStr">
        <is>
          <t>DEL</t>
        </is>
      </c>
      <c r="C635" s="10" t="inlineStr">
        <is>
          <t>VEH-DEL-012</t>
        </is>
      </c>
      <c r="D635" s="10" t="n">
        <v>25</v>
      </c>
      <c r="E635" s="10" t="inlineStr">
        <is>
          <t>ORD-DEL-002549</t>
        </is>
      </c>
      <c r="F635" s="10" t="inlineStr">
        <is>
          <t>ECOM_B2C</t>
        </is>
      </c>
      <c r="G635" s="10" t="inlineStr">
        <is>
          <t>West Delhi</t>
        </is>
      </c>
      <c r="H635" s="10" t="n">
        <v>1.89</v>
      </c>
      <c r="I635" s="10" t="n">
        <v>1080</v>
      </c>
      <c r="J635" s="10" t="n">
        <v>1260</v>
      </c>
      <c r="K635" s="12" t="n">
        <v>1117.8</v>
      </c>
      <c r="L635" s="12" t="n">
        <v>0</v>
      </c>
      <c r="M635" s="10" t="inlineStr">
        <is>
          <t>Yes</t>
        </is>
      </c>
      <c r="N635" s="11" t="n">
        <v>1.49</v>
      </c>
      <c r="O635" s="11" t="n">
        <v>2.011</v>
      </c>
      <c r="P635" s="12" t="n">
        <v>8.9</v>
      </c>
    </row>
    <row r="636">
      <c r="B636" s="16" t="inlineStr">
        <is>
          <t>DEL</t>
        </is>
      </c>
      <c r="C636" s="16" t="inlineStr">
        <is>
          <t>VEH-DEL-012</t>
        </is>
      </c>
      <c r="D636" s="16" t="n">
        <v>26</v>
      </c>
      <c r="E636" s="16" t="inlineStr">
        <is>
          <t>ORD-DEL-002432</t>
        </is>
      </c>
      <c r="F636" s="16" t="inlineStr">
        <is>
          <t>ECOM_B2C</t>
        </is>
      </c>
      <c r="G636" s="16" t="inlineStr">
        <is>
          <t>Central Delhi</t>
        </is>
      </c>
      <c r="H636" s="16" t="n">
        <v>1.71</v>
      </c>
      <c r="I636" s="16" t="n">
        <v>1080</v>
      </c>
      <c r="J636" s="16" t="n">
        <v>1260</v>
      </c>
      <c r="K636" s="18" t="n">
        <v>1158.7</v>
      </c>
      <c r="L636" s="18" t="n">
        <v>0</v>
      </c>
      <c r="M636" s="16" t="inlineStr">
        <is>
          <t>Yes</t>
        </is>
      </c>
      <c r="N636" s="17" t="n">
        <v>6.056</v>
      </c>
      <c r="O636" s="17" t="n">
        <v>8.176</v>
      </c>
      <c r="P636" s="18" t="n">
        <v>36.9</v>
      </c>
    </row>
    <row r="637">
      <c r="B637" s="10" t="inlineStr">
        <is>
          <t>DEL</t>
        </is>
      </c>
      <c r="C637" s="10" t="inlineStr">
        <is>
          <t>VEH-DEL-012</t>
        </is>
      </c>
      <c r="D637" s="10" t="n">
        <v>27</v>
      </c>
      <c r="E637" s="10" t="inlineStr">
        <is>
          <t>ORD-DEL-002413</t>
        </is>
      </c>
      <c r="F637" s="10" t="inlineStr">
        <is>
          <t>ECOM_B2C</t>
        </is>
      </c>
      <c r="G637" s="10" t="inlineStr">
        <is>
          <t>Central Delhi</t>
        </is>
      </c>
      <c r="H637" s="10" t="n">
        <v>1.37</v>
      </c>
      <c r="I637" s="10" t="n">
        <v>1080</v>
      </c>
      <c r="J637" s="10" t="n">
        <v>1260</v>
      </c>
      <c r="K637" s="12" t="n">
        <v>1169.3</v>
      </c>
      <c r="L637" s="12" t="n">
        <v>0</v>
      </c>
      <c r="M637" s="10" t="inlineStr">
        <is>
          <t>Yes</t>
        </is>
      </c>
      <c r="N637" s="11" t="n">
        <v>1.082</v>
      </c>
      <c r="O637" s="11" t="n">
        <v>1.46</v>
      </c>
      <c r="P637" s="12" t="n">
        <v>6.6</v>
      </c>
    </row>
    <row r="638">
      <c r="B638" s="16" t="inlineStr">
        <is>
          <t>DEL</t>
        </is>
      </c>
      <c r="C638" s="16" t="inlineStr">
        <is>
          <t>VEH-DEL-012</t>
        </is>
      </c>
      <c r="D638" s="16" t="n">
        <v>28</v>
      </c>
      <c r="E638" s="16" t="inlineStr">
        <is>
          <t>ORD-DEL-002566</t>
        </is>
      </c>
      <c r="F638" s="16" t="inlineStr">
        <is>
          <t>ECOM_B2C</t>
        </is>
      </c>
      <c r="G638" s="16" t="inlineStr">
        <is>
          <t>Central Delhi</t>
        </is>
      </c>
      <c r="H638" s="16" t="n">
        <v>1.54</v>
      </c>
      <c r="I638" s="16" t="n">
        <v>1080</v>
      </c>
      <c r="J638" s="16" t="n">
        <v>1260</v>
      </c>
      <c r="K638" s="18" t="n">
        <v>1178.9</v>
      </c>
      <c r="L638" s="18" t="n">
        <v>0</v>
      </c>
      <c r="M638" s="16" t="inlineStr">
        <is>
          <t>Yes</t>
        </is>
      </c>
      <c r="N638" s="17" t="n">
        <v>0.927</v>
      </c>
      <c r="O638" s="17" t="n">
        <v>1.252</v>
      </c>
      <c r="P638" s="18" t="n">
        <v>5.6</v>
      </c>
    </row>
    <row r="639">
      <c r="B639" s="10" t="inlineStr">
        <is>
          <t>DEL</t>
        </is>
      </c>
      <c r="C639" s="10" t="inlineStr">
        <is>
          <t>VEH-DEL-012</t>
        </is>
      </c>
      <c r="D639" s="10" t="n">
        <v>29</v>
      </c>
      <c r="E639" s="10" t="inlineStr">
        <is>
          <t>ORD-DEL-002551</t>
        </is>
      </c>
      <c r="F639" s="10" t="inlineStr">
        <is>
          <t>ECOM_B2C</t>
        </is>
      </c>
      <c r="G639" s="10" t="inlineStr">
        <is>
          <t>Central Delhi</t>
        </is>
      </c>
      <c r="H639" s="10" t="n">
        <v>2.52</v>
      </c>
      <c r="I639" s="10" t="n">
        <v>1080</v>
      </c>
      <c r="J639" s="10" t="n">
        <v>1260</v>
      </c>
      <c r="K639" s="12" t="n">
        <v>1197.4</v>
      </c>
      <c r="L639" s="12" t="n">
        <v>0</v>
      </c>
      <c r="M639" s="10" t="inlineStr">
        <is>
          <t>Yes</t>
        </is>
      </c>
      <c r="N639" s="11" t="n">
        <v>2.376</v>
      </c>
      <c r="O639" s="11" t="n">
        <v>3.208</v>
      </c>
      <c r="P639" s="12" t="n">
        <v>14.5</v>
      </c>
    </row>
    <row r="640">
      <c r="B640" s="16" t="inlineStr">
        <is>
          <t>DEL</t>
        </is>
      </c>
      <c r="C640" s="16" t="inlineStr">
        <is>
          <t>VEH-DEL-012</t>
        </is>
      </c>
      <c r="D640" s="16" t="n">
        <v>30</v>
      </c>
      <c r="E640" s="16" t="inlineStr">
        <is>
          <t>ORD-DEL-002513</t>
        </is>
      </c>
      <c r="F640" s="16" t="inlineStr">
        <is>
          <t>ECOM_B2C</t>
        </is>
      </c>
      <c r="G640" s="16" t="inlineStr">
        <is>
          <t>South Delhi</t>
        </is>
      </c>
      <c r="H640" s="16" t="n">
        <v>1</v>
      </c>
      <c r="I640" s="16" t="n">
        <v>1080</v>
      </c>
      <c r="J640" s="16" t="n">
        <v>1260</v>
      </c>
      <c r="K640" s="18" t="n">
        <v>1249.9</v>
      </c>
      <c r="L640" s="18" t="n">
        <v>0</v>
      </c>
      <c r="M640" s="16" t="inlineStr">
        <is>
          <t>Yes</t>
        </is>
      </c>
      <c r="N640" s="17" t="n">
        <v>8.196999999999999</v>
      </c>
      <c r="O640" s="17" t="n">
        <v>11.066</v>
      </c>
      <c r="P640" s="18" t="n">
        <v>48.5</v>
      </c>
    </row>
    <row r="641">
      <c r="B641" s="10" t="inlineStr">
        <is>
          <t>DEL</t>
        </is>
      </c>
      <c r="C641" s="10" t="inlineStr">
        <is>
          <t>VEH-DEL-013</t>
        </is>
      </c>
      <c r="D641" s="10" t="n">
        <v>1</v>
      </c>
      <c r="E641" s="10" t="inlineStr">
        <is>
          <t>ORD-DEL-002400</t>
        </is>
      </c>
      <c r="F641" s="10" t="inlineStr">
        <is>
          <t>ECOM_B2C</t>
        </is>
      </c>
      <c r="G641" s="10" t="inlineStr">
        <is>
          <t>Central Delhi</t>
        </is>
      </c>
      <c r="H641" s="10" t="n">
        <v>1.87</v>
      </c>
      <c r="I641" s="10" t="n">
        <v>540</v>
      </c>
      <c r="J641" s="10" t="n">
        <v>720</v>
      </c>
      <c r="K641" s="12" t="n">
        <v>511.8</v>
      </c>
      <c r="L641" s="12" t="n">
        <v>0</v>
      </c>
      <c r="M641" s="10" t="inlineStr">
        <is>
          <t>Yes</t>
        </is>
      </c>
      <c r="N641" s="11" t="n">
        <v>12.721</v>
      </c>
      <c r="O641" s="11" t="n">
        <v>17.173</v>
      </c>
      <c r="P641" s="12" t="n">
        <v>35.2</v>
      </c>
    </row>
    <row r="642">
      <c r="B642" s="16" t="inlineStr">
        <is>
          <t>DEL</t>
        </is>
      </c>
      <c r="C642" s="16" t="inlineStr">
        <is>
          <t>VEH-DEL-013</t>
        </is>
      </c>
      <c r="D642" s="16" t="n">
        <v>2</v>
      </c>
      <c r="E642" s="16" t="inlineStr">
        <is>
          <t>ORD-DEL-002503</t>
        </is>
      </c>
      <c r="F642" s="16" t="inlineStr">
        <is>
          <t>ECOM_B2C</t>
        </is>
      </c>
      <c r="G642" s="16" t="inlineStr">
        <is>
          <t>Central Delhi</t>
        </is>
      </c>
      <c r="H642" s="16" t="n">
        <v>5.76</v>
      </c>
      <c r="I642" s="16" t="n">
        <v>540</v>
      </c>
      <c r="J642" s="16" t="n">
        <v>720</v>
      </c>
      <c r="K642" s="18" t="n">
        <v>558.4</v>
      </c>
      <c r="L642" s="18" t="n">
        <v>0</v>
      </c>
      <c r="M642" s="16" t="inlineStr">
        <is>
          <t>Yes</t>
        </is>
      </c>
      <c r="N642" s="17" t="n">
        <v>2.892</v>
      </c>
      <c r="O642" s="17" t="n">
        <v>3.904</v>
      </c>
      <c r="P642" s="18" t="n">
        <v>14.4</v>
      </c>
    </row>
    <row r="643">
      <c r="B643" s="10" t="inlineStr">
        <is>
          <t>DEL</t>
        </is>
      </c>
      <c r="C643" s="10" t="inlineStr">
        <is>
          <t>VEH-DEL-013</t>
        </is>
      </c>
      <c r="D643" s="10" t="n">
        <v>3</v>
      </c>
      <c r="E643" s="10" t="inlineStr">
        <is>
          <t>ORD-DEL-002515</t>
        </is>
      </c>
      <c r="F643" s="10" t="inlineStr">
        <is>
          <t>ECOM_B2C</t>
        </is>
      </c>
      <c r="G643" s="10" t="inlineStr">
        <is>
          <t>Central Delhi</t>
        </is>
      </c>
      <c r="H643" s="10" t="n">
        <v>1.92</v>
      </c>
      <c r="I643" s="10" t="n">
        <v>540</v>
      </c>
      <c r="J643" s="10" t="n">
        <v>720</v>
      </c>
      <c r="K643" s="12" t="n">
        <v>564.2</v>
      </c>
      <c r="L643" s="12" t="n">
        <v>0</v>
      </c>
      <c r="M643" s="10" t="inlineStr">
        <is>
          <t>Yes</t>
        </is>
      </c>
      <c r="N643" s="11" t="n">
        <v>0.366</v>
      </c>
      <c r="O643" s="11" t="n">
        <v>0.494</v>
      </c>
      <c r="P643" s="12" t="n">
        <v>1.8</v>
      </c>
    </row>
    <row r="644">
      <c r="B644" s="16" t="inlineStr">
        <is>
          <t>DEL</t>
        </is>
      </c>
      <c r="C644" s="16" t="inlineStr">
        <is>
          <t>VEH-DEL-013</t>
        </is>
      </c>
      <c r="D644" s="16" t="n">
        <v>4</v>
      </c>
      <c r="E644" s="16" t="inlineStr">
        <is>
          <t>ORD-DEL-002532</t>
        </is>
      </c>
      <c r="F644" s="16" t="inlineStr">
        <is>
          <t>ECOM_B2C</t>
        </is>
      </c>
      <c r="G644" s="16" t="inlineStr">
        <is>
          <t>Central Delhi</t>
        </is>
      </c>
      <c r="H644" s="16" t="n">
        <v>1.23</v>
      </c>
      <c r="I644" s="16" t="n">
        <v>540</v>
      </c>
      <c r="J644" s="16" t="n">
        <v>720</v>
      </c>
      <c r="K644" s="18" t="n">
        <v>571</v>
      </c>
      <c r="L644" s="18" t="n">
        <v>0</v>
      </c>
      <c r="M644" s="16" t="inlineStr">
        <is>
          <t>Yes</t>
        </is>
      </c>
      <c r="N644" s="17" t="n">
        <v>0.5600000000000001</v>
      </c>
      <c r="O644" s="17" t="n">
        <v>0.756</v>
      </c>
      <c r="P644" s="18" t="n">
        <v>2.8</v>
      </c>
    </row>
    <row r="645">
      <c r="B645" s="10" t="inlineStr">
        <is>
          <t>DEL</t>
        </is>
      </c>
      <c r="C645" s="10" t="inlineStr">
        <is>
          <t>VEH-DEL-013</t>
        </is>
      </c>
      <c r="D645" s="10" t="n">
        <v>5</v>
      </c>
      <c r="E645" s="10" t="inlineStr">
        <is>
          <t>ORD-DEL-002483</t>
        </is>
      </c>
      <c r="F645" s="10" t="inlineStr">
        <is>
          <t>ECOM_B2C</t>
        </is>
      </c>
      <c r="G645" s="10" t="inlineStr">
        <is>
          <t>Central Delhi</t>
        </is>
      </c>
      <c r="H645" s="10" t="n">
        <v>2.29</v>
      </c>
      <c r="I645" s="10" t="n">
        <v>540</v>
      </c>
      <c r="J645" s="10" t="n">
        <v>720</v>
      </c>
      <c r="K645" s="12" t="n">
        <v>586.6</v>
      </c>
      <c r="L645" s="12" t="n">
        <v>0</v>
      </c>
      <c r="M645" s="10" t="inlineStr">
        <is>
          <t>Yes</t>
        </is>
      </c>
      <c r="N645" s="11" t="n">
        <v>2.332</v>
      </c>
      <c r="O645" s="11" t="n">
        <v>3.149</v>
      </c>
      <c r="P645" s="12" t="n">
        <v>11.6</v>
      </c>
    </row>
    <row r="646">
      <c r="B646" s="16" t="inlineStr">
        <is>
          <t>DEL</t>
        </is>
      </c>
      <c r="C646" s="16" t="inlineStr">
        <is>
          <t>VEH-DEL-013</t>
        </is>
      </c>
      <c r="D646" s="16" t="n">
        <v>6</v>
      </c>
      <c r="E646" s="16" t="inlineStr">
        <is>
          <t>ORD-DEL-002480</t>
        </is>
      </c>
      <c r="F646" s="16" t="inlineStr">
        <is>
          <t>ECOM_B2C</t>
        </is>
      </c>
      <c r="G646" s="16" t="inlineStr">
        <is>
          <t>Central Delhi</t>
        </is>
      </c>
      <c r="H646" s="16" t="n">
        <v>2.54</v>
      </c>
      <c r="I646" s="16" t="n">
        <v>540</v>
      </c>
      <c r="J646" s="16" t="n">
        <v>720</v>
      </c>
      <c r="K646" s="18" t="n">
        <v>600.6</v>
      </c>
      <c r="L646" s="18" t="n">
        <v>0</v>
      </c>
      <c r="M646" s="16" t="inlineStr">
        <is>
          <t>Yes</t>
        </is>
      </c>
      <c r="N646" s="17" t="n">
        <v>2.002</v>
      </c>
      <c r="O646" s="17" t="n">
        <v>2.703</v>
      </c>
      <c r="P646" s="18" t="n">
        <v>10</v>
      </c>
    </row>
    <row r="647">
      <c r="B647" s="10" t="inlineStr">
        <is>
          <t>DEL</t>
        </is>
      </c>
      <c r="C647" s="10" t="inlineStr">
        <is>
          <t>VEH-DEL-013</t>
        </is>
      </c>
      <c r="D647" s="10" t="n">
        <v>7</v>
      </c>
      <c r="E647" s="10" t="inlineStr">
        <is>
          <t>ORD-DEL-002407</t>
        </is>
      </c>
      <c r="F647" s="10" t="inlineStr">
        <is>
          <t>ECOM_B2C</t>
        </is>
      </c>
      <c r="G647" s="10" t="inlineStr">
        <is>
          <t>Central Delhi</t>
        </is>
      </c>
      <c r="H647" s="10" t="n">
        <v>1.46</v>
      </c>
      <c r="I647" s="10" t="n">
        <v>540</v>
      </c>
      <c r="J647" s="10" t="n">
        <v>720</v>
      </c>
      <c r="K647" s="12" t="n">
        <v>604.6</v>
      </c>
      <c r="L647" s="12" t="n">
        <v>0</v>
      </c>
      <c r="M647" s="10" t="inlineStr">
        <is>
          <t>Yes</t>
        </is>
      </c>
      <c r="N647" s="11" t="n">
        <v>0</v>
      </c>
      <c r="O647" s="11" t="n">
        <v>0</v>
      </c>
      <c r="P647" s="12" t="n">
        <v>0</v>
      </c>
    </row>
    <row r="648">
      <c r="B648" s="16" t="inlineStr">
        <is>
          <t>DEL</t>
        </is>
      </c>
      <c r="C648" s="16" t="inlineStr">
        <is>
          <t>VEH-DEL-013</t>
        </is>
      </c>
      <c r="D648" s="16" t="n">
        <v>8</v>
      </c>
      <c r="E648" s="16" t="inlineStr">
        <is>
          <t>ORD-DEL-002408</t>
        </is>
      </c>
      <c r="F648" s="16" t="inlineStr">
        <is>
          <t>ECOM_B2C</t>
        </is>
      </c>
      <c r="G648" s="16" t="inlineStr">
        <is>
          <t>Central Delhi</t>
        </is>
      </c>
      <c r="H648" s="16" t="n">
        <v>6.74</v>
      </c>
      <c r="I648" s="16" t="n">
        <v>540</v>
      </c>
      <c r="J648" s="16" t="n">
        <v>720</v>
      </c>
      <c r="K648" s="18" t="n">
        <v>614.5</v>
      </c>
      <c r="L648" s="18" t="n">
        <v>0</v>
      </c>
      <c r="M648" s="16" t="inlineStr">
        <is>
          <t>Yes</t>
        </is>
      </c>
      <c r="N648" s="17" t="n">
        <v>1.188</v>
      </c>
      <c r="O648" s="17" t="n">
        <v>1.604</v>
      </c>
      <c r="P648" s="18" t="n">
        <v>5.9</v>
      </c>
    </row>
    <row r="649">
      <c r="B649" s="10" t="inlineStr">
        <is>
          <t>DEL</t>
        </is>
      </c>
      <c r="C649" s="10" t="inlineStr">
        <is>
          <t>VEH-DEL-013</t>
        </is>
      </c>
      <c r="D649" s="10" t="n">
        <v>9</v>
      </c>
      <c r="E649" s="10" t="inlineStr">
        <is>
          <t>ORD-DEL-002396</t>
        </is>
      </c>
      <c r="F649" s="10" t="inlineStr">
        <is>
          <t>ECOM_B2C</t>
        </is>
      </c>
      <c r="G649" s="10" t="inlineStr">
        <is>
          <t>West Delhi</t>
        </is>
      </c>
      <c r="H649" s="10" t="n">
        <v>1.75</v>
      </c>
      <c r="I649" s="10" t="n">
        <v>540</v>
      </c>
      <c r="J649" s="10" t="n">
        <v>720</v>
      </c>
      <c r="K649" s="12" t="n">
        <v>642.6</v>
      </c>
      <c r="L649" s="12" t="n">
        <v>0</v>
      </c>
      <c r="M649" s="10" t="inlineStr">
        <is>
          <t>Yes</t>
        </is>
      </c>
      <c r="N649" s="11" t="n">
        <v>4.897</v>
      </c>
      <c r="O649" s="11" t="n">
        <v>6.61</v>
      </c>
      <c r="P649" s="12" t="n">
        <v>24</v>
      </c>
    </row>
    <row r="650">
      <c r="B650" s="16" t="inlineStr">
        <is>
          <t>DEL</t>
        </is>
      </c>
      <c r="C650" s="16" t="inlineStr">
        <is>
          <t>VEH-DEL-013</t>
        </is>
      </c>
      <c r="D650" s="16" t="n">
        <v>10</v>
      </c>
      <c r="E650" s="16" t="inlineStr">
        <is>
          <t>ORD-DEL-002485</t>
        </is>
      </c>
      <c r="F650" s="16" t="inlineStr">
        <is>
          <t>ECOM_B2C</t>
        </is>
      </c>
      <c r="G650" s="16" t="inlineStr">
        <is>
          <t>West Delhi</t>
        </is>
      </c>
      <c r="H650" s="16" t="n">
        <v>1.38</v>
      </c>
      <c r="I650" s="16" t="n">
        <v>540</v>
      </c>
      <c r="J650" s="16" t="n">
        <v>720</v>
      </c>
      <c r="K650" s="18" t="n">
        <v>647.6</v>
      </c>
      <c r="L650" s="18" t="n">
        <v>0</v>
      </c>
      <c r="M650" s="16" t="inlineStr">
        <is>
          <t>Yes</t>
        </is>
      </c>
      <c r="N650" s="17" t="n">
        <v>0.222</v>
      </c>
      <c r="O650" s="17" t="n">
        <v>0.3</v>
      </c>
      <c r="P650" s="18" t="n">
        <v>1.1</v>
      </c>
    </row>
    <row r="651">
      <c r="B651" s="10" t="inlineStr">
        <is>
          <t>DEL</t>
        </is>
      </c>
      <c r="C651" s="10" t="inlineStr">
        <is>
          <t>VEH-DEL-013</t>
        </is>
      </c>
      <c r="D651" s="10" t="n">
        <v>11</v>
      </c>
      <c r="E651" s="10" t="inlineStr">
        <is>
          <t>ORD-DEL-002499</t>
        </is>
      </c>
      <c r="F651" s="10" t="inlineStr">
        <is>
          <t>ECOM_B2C</t>
        </is>
      </c>
      <c r="G651" s="10" t="inlineStr">
        <is>
          <t>West Delhi</t>
        </is>
      </c>
      <c r="H651" s="10" t="n">
        <v>5.33</v>
      </c>
      <c r="I651" s="10" t="n">
        <v>540</v>
      </c>
      <c r="J651" s="10" t="n">
        <v>720</v>
      </c>
      <c r="K651" s="12" t="n">
        <v>653.4</v>
      </c>
      <c r="L651" s="12" t="n">
        <v>0</v>
      </c>
      <c r="M651" s="10" t="inlineStr">
        <is>
          <t>Yes</t>
        </is>
      </c>
      <c r="N651" s="11" t="n">
        <v>0.347</v>
      </c>
      <c r="O651" s="11" t="n">
        <v>0.468</v>
      </c>
      <c r="P651" s="12" t="n">
        <v>1.7</v>
      </c>
    </row>
    <row r="652">
      <c r="B652" s="16" t="inlineStr">
        <is>
          <t>DEL</t>
        </is>
      </c>
      <c r="C652" s="16" t="inlineStr">
        <is>
          <t>VEH-DEL-013</t>
        </is>
      </c>
      <c r="D652" s="16" t="n">
        <v>12</v>
      </c>
      <c r="E652" s="16" t="inlineStr">
        <is>
          <t>ORD-DEL-002394</t>
        </is>
      </c>
      <c r="F652" s="16" t="inlineStr">
        <is>
          <t>ECOM_B2C</t>
        </is>
      </c>
      <c r="G652" s="16" t="inlineStr">
        <is>
          <t>West Delhi</t>
        </is>
      </c>
      <c r="H652" s="16" t="n">
        <v>1.5</v>
      </c>
      <c r="I652" s="16" t="n">
        <v>540</v>
      </c>
      <c r="J652" s="16" t="n">
        <v>720</v>
      </c>
      <c r="K652" s="18" t="n">
        <v>657.4</v>
      </c>
      <c r="L652" s="18" t="n">
        <v>0</v>
      </c>
      <c r="M652" s="16" t="inlineStr">
        <is>
          <t>Yes</t>
        </is>
      </c>
      <c r="N652" s="17" t="n">
        <v>0</v>
      </c>
      <c r="O652" s="17" t="n">
        <v>0</v>
      </c>
      <c r="P652" s="18" t="n">
        <v>0</v>
      </c>
    </row>
    <row r="653">
      <c r="B653" s="10" t="inlineStr">
        <is>
          <t>DEL</t>
        </is>
      </c>
      <c r="C653" s="10" t="inlineStr">
        <is>
          <t>VEH-DEL-013</t>
        </is>
      </c>
      <c r="D653" s="10" t="n">
        <v>13</v>
      </c>
      <c r="E653" s="10" t="inlineStr">
        <is>
          <t>ORD-DEL-002490</t>
        </is>
      </c>
      <c r="F653" s="10" t="inlineStr">
        <is>
          <t>ECOM_B2C</t>
        </is>
      </c>
      <c r="G653" s="10" t="inlineStr">
        <is>
          <t>West Delhi</t>
        </is>
      </c>
      <c r="H653" s="10" t="n">
        <v>2.22</v>
      </c>
      <c r="I653" s="10" t="n">
        <v>600</v>
      </c>
      <c r="J653" s="10" t="n">
        <v>720</v>
      </c>
      <c r="K653" s="12" t="n">
        <v>661.4</v>
      </c>
      <c r="L653" s="12" t="n">
        <v>0</v>
      </c>
      <c r="M653" s="10" t="inlineStr">
        <is>
          <t>Yes</t>
        </is>
      </c>
      <c r="N653" s="11" t="n">
        <v>0</v>
      </c>
      <c r="O653" s="11" t="n">
        <v>0</v>
      </c>
      <c r="P653" s="12" t="n">
        <v>0</v>
      </c>
    </row>
    <row r="654">
      <c r="B654" s="16" t="inlineStr">
        <is>
          <t>DEL</t>
        </is>
      </c>
      <c r="C654" s="16" t="inlineStr">
        <is>
          <t>VEH-DEL-013</t>
        </is>
      </c>
      <c r="D654" s="16" t="n">
        <v>14</v>
      </c>
      <c r="E654" s="16" t="inlineStr">
        <is>
          <t>ORD-DEL-002416</t>
        </is>
      </c>
      <c r="F654" s="16" t="inlineStr">
        <is>
          <t>ECOM_B2C</t>
        </is>
      </c>
      <c r="G654" s="16" t="inlineStr">
        <is>
          <t>West Delhi</t>
        </is>
      </c>
      <c r="H654" s="16" t="n">
        <v>2.9</v>
      </c>
      <c r="I654" s="16" t="n">
        <v>600</v>
      </c>
      <c r="J654" s="16" t="n">
        <v>720</v>
      </c>
      <c r="K654" s="18" t="n">
        <v>667.6</v>
      </c>
      <c r="L654" s="18" t="n">
        <v>0</v>
      </c>
      <c r="M654" s="16" t="inlineStr">
        <is>
          <t>Yes</t>
        </is>
      </c>
      <c r="N654" s="17" t="n">
        <v>0.742</v>
      </c>
      <c r="O654" s="17" t="n">
        <v>1.002</v>
      </c>
      <c r="P654" s="18" t="n">
        <v>2.2</v>
      </c>
    </row>
    <row r="655">
      <c r="B655" s="10" t="inlineStr">
        <is>
          <t>DEL</t>
        </is>
      </c>
      <c r="C655" s="10" t="inlineStr">
        <is>
          <t>VEH-DEL-013</t>
        </is>
      </c>
      <c r="D655" s="10" t="n">
        <v>15</v>
      </c>
      <c r="E655" s="10" t="inlineStr">
        <is>
          <t>ORD-DEL-002496</t>
        </is>
      </c>
      <c r="F655" s="10" t="inlineStr">
        <is>
          <t>ECOM_B2C</t>
        </is>
      </c>
      <c r="G655" s="10" t="inlineStr">
        <is>
          <t>West Delhi</t>
        </is>
      </c>
      <c r="H655" s="10" t="n">
        <v>2.33</v>
      </c>
      <c r="I655" s="10" t="n">
        <v>600</v>
      </c>
      <c r="J655" s="10" t="n">
        <v>720</v>
      </c>
      <c r="K655" s="12" t="n">
        <v>672.2</v>
      </c>
      <c r="L655" s="12" t="n">
        <v>0</v>
      </c>
      <c r="M655" s="10" t="inlineStr">
        <is>
          <t>Yes</t>
        </is>
      </c>
      <c r="N655" s="11" t="n">
        <v>0.22</v>
      </c>
      <c r="O655" s="11" t="n">
        <v>0.297</v>
      </c>
      <c r="P655" s="12" t="n">
        <v>0.7</v>
      </c>
    </row>
    <row r="656">
      <c r="B656" s="16" t="inlineStr">
        <is>
          <t>DEL</t>
        </is>
      </c>
      <c r="C656" s="16" t="inlineStr">
        <is>
          <t>VEH-DEL-013</t>
        </is>
      </c>
      <c r="D656" s="16" t="n">
        <v>16</v>
      </c>
      <c r="E656" s="16" t="inlineStr">
        <is>
          <t>ORD-DEL-002517</t>
        </is>
      </c>
      <c r="F656" s="16" t="inlineStr">
        <is>
          <t>ECOM_B2C</t>
        </is>
      </c>
      <c r="G656" s="16" t="inlineStr">
        <is>
          <t>West Delhi</t>
        </is>
      </c>
      <c r="H656" s="16" t="n">
        <v>0.73</v>
      </c>
      <c r="I656" s="16" t="n">
        <v>540</v>
      </c>
      <c r="J656" s="16" t="n">
        <v>720</v>
      </c>
      <c r="K656" s="18" t="n">
        <v>680.2</v>
      </c>
      <c r="L656" s="18" t="n">
        <v>0</v>
      </c>
      <c r="M656" s="16" t="inlineStr">
        <is>
          <t>Yes</t>
        </is>
      </c>
      <c r="N656" s="17" t="n">
        <v>1.32</v>
      </c>
      <c r="O656" s="17" t="n">
        <v>1.782</v>
      </c>
      <c r="P656" s="18" t="n">
        <v>4</v>
      </c>
    </row>
    <row r="657">
      <c r="B657" s="10" t="inlineStr">
        <is>
          <t>DEL</t>
        </is>
      </c>
      <c r="C657" s="10" t="inlineStr">
        <is>
          <t>VEH-DEL-013</t>
        </is>
      </c>
      <c r="D657" s="10" t="n">
        <v>17</v>
      </c>
      <c r="E657" s="10" t="inlineStr">
        <is>
          <t>ORD-DEL-002520</t>
        </is>
      </c>
      <c r="F657" s="10" t="inlineStr">
        <is>
          <t>ECOM_B2C</t>
        </is>
      </c>
      <c r="G657" s="10" t="inlineStr">
        <is>
          <t>West Delhi</t>
        </is>
      </c>
      <c r="H657" s="10" t="n">
        <v>2.14</v>
      </c>
      <c r="I657" s="10" t="n">
        <v>540</v>
      </c>
      <c r="J657" s="10" t="n">
        <v>720</v>
      </c>
      <c r="K657" s="12" t="n">
        <v>685.6</v>
      </c>
      <c r="L657" s="12" t="n">
        <v>0</v>
      </c>
      <c r="M657" s="10" t="inlineStr">
        <is>
          <t>Yes</t>
        </is>
      </c>
      <c r="N657" s="11" t="n">
        <v>0.479</v>
      </c>
      <c r="O657" s="11" t="n">
        <v>0.647</v>
      </c>
      <c r="P657" s="12" t="n">
        <v>1.4</v>
      </c>
    </row>
    <row r="658">
      <c r="B658" s="16" t="inlineStr">
        <is>
          <t>DEL</t>
        </is>
      </c>
      <c r="C658" s="16" t="inlineStr">
        <is>
          <t>VEH-DEL-013</t>
        </is>
      </c>
      <c r="D658" s="16" t="n">
        <v>18</v>
      </c>
      <c r="E658" s="16" t="inlineStr">
        <is>
          <t>ORD-DEL-002398</t>
        </is>
      </c>
      <c r="F658" s="16" t="inlineStr">
        <is>
          <t>ECOM_B2C</t>
        </is>
      </c>
      <c r="G658" s="16" t="inlineStr">
        <is>
          <t>West Delhi</t>
        </is>
      </c>
      <c r="H658" s="16" t="n">
        <v>6.65</v>
      </c>
      <c r="I658" s="16" t="n">
        <v>540</v>
      </c>
      <c r="J658" s="16" t="n">
        <v>720</v>
      </c>
      <c r="K658" s="18" t="n">
        <v>689.6</v>
      </c>
      <c r="L658" s="18" t="n">
        <v>0</v>
      </c>
      <c r="M658" s="16" t="inlineStr">
        <is>
          <t>Yes</t>
        </is>
      </c>
      <c r="N658" s="17" t="n">
        <v>0</v>
      </c>
      <c r="O658" s="17" t="n">
        <v>0</v>
      </c>
      <c r="P658" s="18" t="n">
        <v>0</v>
      </c>
    </row>
    <row r="659">
      <c r="B659" s="10" t="inlineStr">
        <is>
          <t>DEL</t>
        </is>
      </c>
      <c r="C659" s="10" t="inlineStr">
        <is>
          <t>VEH-DEL-013</t>
        </is>
      </c>
      <c r="D659" s="10" t="n">
        <v>19</v>
      </c>
      <c r="E659" s="10" t="inlineStr">
        <is>
          <t>ORD-DEL-002430</t>
        </is>
      </c>
      <c r="F659" s="10" t="inlineStr">
        <is>
          <t>ECOM_B2C</t>
        </is>
      </c>
      <c r="G659" s="10" t="inlineStr">
        <is>
          <t>West Delhi</t>
        </is>
      </c>
      <c r="H659" s="10" t="n">
        <v>1.86</v>
      </c>
      <c r="I659" s="10" t="n">
        <v>720</v>
      </c>
      <c r="J659" s="10" t="n">
        <v>900</v>
      </c>
      <c r="K659" s="12" t="n">
        <v>695.1</v>
      </c>
      <c r="L659" s="12" t="n">
        <v>0</v>
      </c>
      <c r="M659" s="10" t="inlineStr">
        <is>
          <t>Yes</t>
        </is>
      </c>
      <c r="N659" s="11" t="n">
        <v>0.479</v>
      </c>
      <c r="O659" s="11" t="n">
        <v>0.647</v>
      </c>
      <c r="P659" s="12" t="n">
        <v>1.4</v>
      </c>
    </row>
    <row r="660">
      <c r="B660" s="16" t="inlineStr">
        <is>
          <t>DEL</t>
        </is>
      </c>
      <c r="C660" s="16" t="inlineStr">
        <is>
          <t>VEH-DEL-013</t>
        </is>
      </c>
      <c r="D660" s="16" t="n">
        <v>20</v>
      </c>
      <c r="E660" s="16" t="inlineStr">
        <is>
          <t>ORD-DEL-002447</t>
        </is>
      </c>
      <c r="F660" s="16" t="inlineStr">
        <is>
          <t>ECOM_B2C</t>
        </is>
      </c>
      <c r="G660" s="16" t="inlineStr">
        <is>
          <t>West Delhi</t>
        </is>
      </c>
      <c r="H660" s="16" t="n">
        <v>2.59</v>
      </c>
      <c r="I660" s="16" t="n">
        <v>720</v>
      </c>
      <c r="J660" s="16" t="n">
        <v>900</v>
      </c>
      <c r="K660" s="18" t="n">
        <v>726.5</v>
      </c>
      <c r="L660" s="18" t="n">
        <v>0</v>
      </c>
      <c r="M660" s="16" t="inlineStr">
        <is>
          <t>Yes</t>
        </is>
      </c>
      <c r="N660" s="17" t="n">
        <v>0.84</v>
      </c>
      <c r="O660" s="17" t="n">
        <v>1.134</v>
      </c>
      <c r="P660" s="18" t="n">
        <v>2.5</v>
      </c>
    </row>
    <row r="661">
      <c r="B661" s="10" t="inlineStr">
        <is>
          <t>DEL</t>
        </is>
      </c>
      <c r="C661" s="10" t="inlineStr">
        <is>
          <t>VEH-DEL-013</t>
        </is>
      </c>
      <c r="D661" s="10" t="n">
        <v>21</v>
      </c>
      <c r="E661" s="10" t="inlineStr">
        <is>
          <t>ORD-DEL-002481</t>
        </is>
      </c>
      <c r="F661" s="10" t="inlineStr">
        <is>
          <t>ECOM_B2C</t>
        </is>
      </c>
      <c r="G661" s="10" t="inlineStr">
        <is>
          <t>West Delhi</t>
        </is>
      </c>
      <c r="H661" s="10" t="n">
        <v>12.31</v>
      </c>
      <c r="I661" s="10" t="n">
        <v>720</v>
      </c>
      <c r="J661" s="10" t="n">
        <v>900</v>
      </c>
      <c r="K661" s="12" t="n">
        <v>760.9</v>
      </c>
      <c r="L661" s="12" t="n">
        <v>0</v>
      </c>
      <c r="M661" s="10" t="inlineStr">
        <is>
          <t>Yes</t>
        </is>
      </c>
      <c r="N661" s="11" t="n">
        <v>10.122</v>
      </c>
      <c r="O661" s="11" t="n">
        <v>13.664</v>
      </c>
      <c r="P661" s="12" t="n">
        <v>30.4</v>
      </c>
    </row>
    <row r="662">
      <c r="B662" s="16" t="inlineStr">
        <is>
          <t>DEL</t>
        </is>
      </c>
      <c r="C662" s="16" t="inlineStr">
        <is>
          <t>VEH-DEL-013</t>
        </is>
      </c>
      <c r="D662" s="16" t="n">
        <v>22</v>
      </c>
      <c r="E662" s="16" t="inlineStr">
        <is>
          <t>ORD-DEL-002500</t>
        </is>
      </c>
      <c r="F662" s="16" t="inlineStr">
        <is>
          <t>ECOM_B2C</t>
        </is>
      </c>
      <c r="G662" s="16" t="inlineStr">
        <is>
          <t>West Delhi</t>
        </is>
      </c>
      <c r="H662" s="16" t="n">
        <v>4.58</v>
      </c>
      <c r="I662" s="16" t="n">
        <v>720</v>
      </c>
      <c r="J662" s="16" t="n">
        <v>900</v>
      </c>
      <c r="K662" s="18" t="n">
        <v>768.1</v>
      </c>
      <c r="L662" s="18" t="n">
        <v>0</v>
      </c>
      <c r="M662" s="16" t="inlineStr">
        <is>
          <t>Yes</t>
        </is>
      </c>
      <c r="N662" s="17" t="n">
        <v>1.076</v>
      </c>
      <c r="O662" s="17" t="n">
        <v>1.453</v>
      </c>
      <c r="P662" s="18" t="n">
        <v>3.2</v>
      </c>
    </row>
    <row r="663">
      <c r="B663" s="10" t="inlineStr">
        <is>
          <t>DEL</t>
        </is>
      </c>
      <c r="C663" s="10" t="inlineStr">
        <is>
          <t>VEH-DEL-013</t>
        </is>
      </c>
      <c r="D663" s="10" t="n">
        <v>23</v>
      </c>
      <c r="E663" s="10" t="inlineStr">
        <is>
          <t>ORD-DEL-002527</t>
        </is>
      </c>
      <c r="F663" s="10" t="inlineStr">
        <is>
          <t>ECOM_B2C</t>
        </is>
      </c>
      <c r="G663" s="10" t="inlineStr">
        <is>
          <t>West Delhi</t>
        </is>
      </c>
      <c r="H663" s="10" t="n">
        <v>2.25</v>
      </c>
      <c r="I663" s="10" t="n">
        <v>840</v>
      </c>
      <c r="J663" s="10" t="n">
        <v>960</v>
      </c>
      <c r="K663" s="12" t="n">
        <v>774.4</v>
      </c>
      <c r="L663" s="12" t="n">
        <v>0</v>
      </c>
      <c r="M663" s="10" t="inlineStr">
        <is>
          <t>Yes</t>
        </is>
      </c>
      <c r="N663" s="11" t="n">
        <v>0.745</v>
      </c>
      <c r="O663" s="11" t="n">
        <v>1.005</v>
      </c>
      <c r="P663" s="12" t="n">
        <v>2.2</v>
      </c>
    </row>
    <row r="664">
      <c r="B664" s="16" t="inlineStr">
        <is>
          <t>DEL</t>
        </is>
      </c>
      <c r="C664" s="16" t="inlineStr">
        <is>
          <t>VEH-DEL-013</t>
        </is>
      </c>
      <c r="D664" s="16" t="n">
        <v>24</v>
      </c>
      <c r="E664" s="16" t="inlineStr">
        <is>
          <t>ORD-DEL-002397</t>
        </is>
      </c>
      <c r="F664" s="16" t="inlineStr">
        <is>
          <t>ECOM_B2C</t>
        </is>
      </c>
      <c r="G664" s="16" t="inlineStr">
        <is>
          <t>West Delhi</t>
        </is>
      </c>
      <c r="H664" s="16" t="n">
        <v>2.77</v>
      </c>
      <c r="I664" s="16" t="n">
        <v>840</v>
      </c>
      <c r="J664" s="16" t="n">
        <v>960</v>
      </c>
      <c r="K664" s="18" t="n">
        <v>861.4</v>
      </c>
      <c r="L664" s="18" t="n">
        <v>0</v>
      </c>
      <c r="M664" s="16" t="inlineStr">
        <is>
          <t>Yes</t>
        </is>
      </c>
      <c r="N664" s="17" t="n">
        <v>5.801</v>
      </c>
      <c r="O664" s="17" t="n">
        <v>7.831</v>
      </c>
      <c r="P664" s="18" t="n">
        <v>17.4</v>
      </c>
    </row>
    <row r="665">
      <c r="B665" s="10" t="inlineStr">
        <is>
          <t>DEL</t>
        </is>
      </c>
      <c r="C665" s="10" t="inlineStr">
        <is>
          <t>VEH-DEL-013</t>
        </is>
      </c>
      <c r="D665" s="10" t="n">
        <v>25</v>
      </c>
      <c r="E665" s="10" t="inlineStr">
        <is>
          <t>ORD-DEL-002399</t>
        </is>
      </c>
      <c r="F665" s="10" t="inlineStr">
        <is>
          <t>ECOM_B2C</t>
        </is>
      </c>
      <c r="G665" s="10" t="inlineStr">
        <is>
          <t>Noida</t>
        </is>
      </c>
      <c r="H665" s="10" t="n">
        <v>4.71</v>
      </c>
      <c r="I665" s="10" t="n">
        <v>900</v>
      </c>
      <c r="J665" s="10" t="n">
        <v>1080</v>
      </c>
      <c r="K665" s="12" t="n">
        <v>932.2</v>
      </c>
      <c r="L665" s="12" t="n">
        <v>0</v>
      </c>
      <c r="M665" s="10" t="inlineStr">
        <is>
          <t>Yes</t>
        </is>
      </c>
      <c r="N665" s="11" t="n">
        <v>23.081</v>
      </c>
      <c r="O665" s="11" t="n">
        <v>31.159</v>
      </c>
      <c r="P665" s="12" t="n">
        <v>66.8</v>
      </c>
    </row>
    <row r="666">
      <c r="B666" s="16" t="inlineStr">
        <is>
          <t>DEL</t>
        </is>
      </c>
      <c r="C666" s="16" t="inlineStr">
        <is>
          <t>VEH-DEL-013</t>
        </is>
      </c>
      <c r="D666" s="16" t="n">
        <v>26</v>
      </c>
      <c r="E666" s="16" t="inlineStr">
        <is>
          <t>ORD-DEL-002486</t>
        </is>
      </c>
      <c r="F666" s="16" t="inlineStr">
        <is>
          <t>ECOM_B2C</t>
        </is>
      </c>
      <c r="G666" s="16" t="inlineStr">
        <is>
          <t>Noida</t>
        </is>
      </c>
      <c r="H666" s="16" t="n">
        <v>2.72</v>
      </c>
      <c r="I666" s="16" t="n">
        <v>900</v>
      </c>
      <c r="J666" s="16" t="n">
        <v>1080</v>
      </c>
      <c r="K666" s="18" t="n">
        <v>937.2</v>
      </c>
      <c r="L666" s="18" t="n">
        <v>0</v>
      </c>
      <c r="M666" s="16" t="inlineStr">
        <is>
          <t>Yes</t>
        </is>
      </c>
      <c r="N666" s="17" t="n">
        <v>0.343</v>
      </c>
      <c r="O666" s="17" t="n">
        <v>0.463</v>
      </c>
      <c r="P666" s="18" t="n">
        <v>1</v>
      </c>
    </row>
    <row r="667">
      <c r="B667" s="10" t="inlineStr">
        <is>
          <t>DEL</t>
        </is>
      </c>
      <c r="C667" s="10" t="inlineStr">
        <is>
          <t>VEH-DEL-013</t>
        </is>
      </c>
      <c r="D667" s="10" t="n">
        <v>27</v>
      </c>
      <c r="E667" s="10" t="inlineStr">
        <is>
          <t>ORD-DEL-002528</t>
        </is>
      </c>
      <c r="F667" s="10" t="inlineStr">
        <is>
          <t>ECOM_B2C</t>
        </is>
      </c>
      <c r="G667" s="10" t="inlineStr">
        <is>
          <t>Noida</t>
        </is>
      </c>
      <c r="H667" s="10" t="n">
        <v>7.94</v>
      </c>
      <c r="I667" s="10" t="n">
        <v>900</v>
      </c>
      <c r="J667" s="10" t="n">
        <v>1080</v>
      </c>
      <c r="K667" s="12" t="n">
        <v>942</v>
      </c>
      <c r="L667" s="12" t="n">
        <v>0</v>
      </c>
      <c r="M667" s="10" t="inlineStr">
        <is>
          <t>Yes</t>
        </is>
      </c>
      <c r="N667" s="11" t="n">
        <v>0.257</v>
      </c>
      <c r="O667" s="11" t="n">
        <v>0.347</v>
      </c>
      <c r="P667" s="12" t="n">
        <v>0.7</v>
      </c>
    </row>
    <row r="668">
      <c r="B668" s="16" t="inlineStr">
        <is>
          <t>DEL</t>
        </is>
      </c>
      <c r="C668" s="16" t="inlineStr">
        <is>
          <t>VEH-DEL-014</t>
        </is>
      </c>
      <c r="D668" s="16" t="n">
        <v>1</v>
      </c>
      <c r="E668" s="16" t="inlineStr">
        <is>
          <t>ORD-DEL-002511</t>
        </is>
      </c>
      <c r="F668" s="16" t="inlineStr">
        <is>
          <t>ECOM_B2C</t>
        </is>
      </c>
      <c r="G668" s="16" t="inlineStr">
        <is>
          <t>South Delhi</t>
        </is>
      </c>
      <c r="H668" s="16" t="n">
        <v>0.57</v>
      </c>
      <c r="I668" s="16" t="n">
        <v>720</v>
      </c>
      <c r="J668" s="16" t="n">
        <v>900</v>
      </c>
      <c r="K668" s="18" t="n">
        <v>720</v>
      </c>
      <c r="L668" s="18" t="n">
        <v>0</v>
      </c>
      <c r="M668" s="16" t="inlineStr">
        <is>
          <t>Yes</t>
        </is>
      </c>
      <c r="N668" s="17" t="n">
        <v>11.126</v>
      </c>
      <c r="O668" s="17" t="n">
        <v>15.02</v>
      </c>
      <c r="P668" s="18" t="n">
        <v>32.9</v>
      </c>
    </row>
    <row r="669">
      <c r="B669" s="10" t="inlineStr">
        <is>
          <t>DEL</t>
        </is>
      </c>
      <c r="C669" s="10" t="inlineStr">
        <is>
          <t>VEH-DEL-014</t>
        </is>
      </c>
      <c r="D669" s="10" t="n">
        <v>2</v>
      </c>
      <c r="E669" s="10" t="inlineStr">
        <is>
          <t>ORD-DEL-002510</t>
        </is>
      </c>
      <c r="F669" s="10" t="inlineStr">
        <is>
          <t>ECOM_B2C</t>
        </is>
      </c>
      <c r="G669" s="10" t="inlineStr">
        <is>
          <t>South Delhi</t>
        </is>
      </c>
      <c r="H669" s="10" t="n">
        <v>2.87</v>
      </c>
      <c r="I669" s="10" t="n">
        <v>720</v>
      </c>
      <c r="J669" s="10" t="n">
        <v>900</v>
      </c>
      <c r="K669" s="12" t="n">
        <v>724.6</v>
      </c>
      <c r="L669" s="12" t="n">
        <v>0</v>
      </c>
      <c r="M669" s="10" t="inlineStr">
        <is>
          <t>Yes</t>
        </is>
      </c>
      <c r="N669" s="11" t="n">
        <v>0.213</v>
      </c>
      <c r="O669" s="11" t="n">
        <v>0.288</v>
      </c>
      <c r="P669" s="12" t="n">
        <v>0.6</v>
      </c>
    </row>
    <row r="670">
      <c r="B670" s="16" t="inlineStr">
        <is>
          <t>DEL</t>
        </is>
      </c>
      <c r="C670" s="16" t="inlineStr">
        <is>
          <t>VEH-DEL-014</t>
        </is>
      </c>
      <c r="D670" s="16" t="n">
        <v>3</v>
      </c>
      <c r="E670" s="16" t="inlineStr">
        <is>
          <t>ORD-DEL-002439</t>
        </is>
      </c>
      <c r="F670" s="16" t="inlineStr">
        <is>
          <t>ECOM_B2C</t>
        </is>
      </c>
      <c r="G670" s="16" t="inlineStr">
        <is>
          <t>Gurugram</t>
        </is>
      </c>
      <c r="H670" s="16" t="n">
        <v>3.93</v>
      </c>
      <c r="I670" s="16" t="n">
        <v>720</v>
      </c>
      <c r="J670" s="16" t="n">
        <v>900</v>
      </c>
      <c r="K670" s="18" t="n">
        <v>749.9</v>
      </c>
      <c r="L670" s="18" t="n">
        <v>0</v>
      </c>
      <c r="M670" s="16" t="inlineStr">
        <is>
          <t>Yes</t>
        </is>
      </c>
      <c r="N670" s="17" t="n">
        <v>7.2</v>
      </c>
      <c r="O670" s="17" t="n">
        <v>9.720000000000001</v>
      </c>
      <c r="P670" s="18" t="n">
        <v>21.3</v>
      </c>
    </row>
    <row r="671">
      <c r="B671" s="10" t="inlineStr">
        <is>
          <t>DEL</t>
        </is>
      </c>
      <c r="C671" s="10" t="inlineStr">
        <is>
          <t>VEH-DEL-014</t>
        </is>
      </c>
      <c r="D671" s="10" t="n">
        <v>4</v>
      </c>
      <c r="E671" s="10" t="inlineStr">
        <is>
          <t>ORD-DEL-002533</t>
        </is>
      </c>
      <c r="F671" s="10" t="inlineStr">
        <is>
          <t>ECOM_B2C</t>
        </is>
      </c>
      <c r="G671" s="10" t="inlineStr">
        <is>
          <t>Gurugram</t>
        </is>
      </c>
      <c r="H671" s="10" t="n">
        <v>3.12</v>
      </c>
      <c r="I671" s="10" t="n">
        <v>720</v>
      </c>
      <c r="J671" s="10" t="n">
        <v>900</v>
      </c>
      <c r="K671" s="12" t="n">
        <v>753.9</v>
      </c>
      <c r="L671" s="12" t="n">
        <v>0</v>
      </c>
      <c r="M671" s="10" t="inlineStr">
        <is>
          <t>Yes</t>
        </is>
      </c>
      <c r="N671" s="11" t="n">
        <v>0</v>
      </c>
      <c r="O671" s="11" t="n">
        <v>0</v>
      </c>
      <c r="P671" s="12" t="n">
        <v>0</v>
      </c>
    </row>
    <row r="672">
      <c r="B672" s="16" t="inlineStr">
        <is>
          <t>DEL</t>
        </is>
      </c>
      <c r="C672" s="16" t="inlineStr">
        <is>
          <t>VEH-DEL-014</t>
        </is>
      </c>
      <c r="D672" s="16" t="n">
        <v>5</v>
      </c>
      <c r="E672" s="16" t="inlineStr">
        <is>
          <t>ORD-DEL-002442</t>
        </is>
      </c>
      <c r="F672" s="16" t="inlineStr">
        <is>
          <t>ECOM_B2C</t>
        </is>
      </c>
      <c r="G672" s="16" t="inlineStr">
        <is>
          <t>Gurugram</t>
        </is>
      </c>
      <c r="H672" s="16" t="n">
        <v>3.38</v>
      </c>
      <c r="I672" s="16" t="n">
        <v>720</v>
      </c>
      <c r="J672" s="16" t="n">
        <v>900</v>
      </c>
      <c r="K672" s="18" t="n">
        <v>757.9</v>
      </c>
      <c r="L672" s="18" t="n">
        <v>0</v>
      </c>
      <c r="M672" s="16" t="inlineStr">
        <is>
          <t>Yes</t>
        </is>
      </c>
      <c r="N672" s="17" t="n">
        <v>0</v>
      </c>
      <c r="O672" s="17" t="n">
        <v>0</v>
      </c>
      <c r="P672" s="18" t="n">
        <v>0</v>
      </c>
    </row>
    <row r="673">
      <c r="B673" s="10" t="inlineStr">
        <is>
          <t>DEL</t>
        </is>
      </c>
      <c r="C673" s="10" t="inlineStr">
        <is>
          <t>VEH-DEL-014</t>
        </is>
      </c>
      <c r="D673" s="10" t="n">
        <v>6</v>
      </c>
      <c r="E673" s="10" t="inlineStr">
        <is>
          <t>ORD-DEL-002509</t>
        </is>
      </c>
      <c r="F673" s="10" t="inlineStr">
        <is>
          <t>ECOM_B2C</t>
        </is>
      </c>
      <c r="G673" s="10" t="inlineStr">
        <is>
          <t>Gurugram</t>
        </is>
      </c>
      <c r="H673" s="10" t="n">
        <v>1.45</v>
      </c>
      <c r="I673" s="10" t="n">
        <v>720</v>
      </c>
      <c r="J673" s="10" t="n">
        <v>900</v>
      </c>
      <c r="K673" s="12" t="n">
        <v>762.4</v>
      </c>
      <c r="L673" s="12" t="n">
        <v>0</v>
      </c>
      <c r="M673" s="10" t="inlineStr">
        <is>
          <t>Yes</t>
        </is>
      </c>
      <c r="N673" s="11" t="n">
        <v>0.168</v>
      </c>
      <c r="O673" s="11" t="n">
        <v>0.227</v>
      </c>
      <c r="P673" s="12" t="n">
        <v>0.5</v>
      </c>
    </row>
    <row r="674">
      <c r="B674" s="16" t="inlineStr">
        <is>
          <t>DEL</t>
        </is>
      </c>
      <c r="C674" s="16" t="inlineStr">
        <is>
          <t>VEH-DEL-014</t>
        </is>
      </c>
      <c r="D674" s="16" t="n">
        <v>7</v>
      </c>
      <c r="E674" s="16" t="inlineStr">
        <is>
          <t>ORD-DEL-002505</t>
        </is>
      </c>
      <c r="F674" s="16" t="inlineStr">
        <is>
          <t>ECOM_B2C</t>
        </is>
      </c>
      <c r="G674" s="16" t="inlineStr">
        <is>
          <t>Gurugram</t>
        </is>
      </c>
      <c r="H674" s="16" t="n">
        <v>1.78</v>
      </c>
      <c r="I674" s="16" t="n">
        <v>720</v>
      </c>
      <c r="J674" s="16" t="n">
        <v>900</v>
      </c>
      <c r="K674" s="18" t="n">
        <v>774.4</v>
      </c>
      <c r="L674" s="18" t="n">
        <v>0</v>
      </c>
      <c r="M674" s="16" t="inlineStr">
        <is>
          <t>Yes</t>
        </is>
      </c>
      <c r="N674" s="17" t="n">
        <v>2.695</v>
      </c>
      <c r="O674" s="17" t="n">
        <v>3.639</v>
      </c>
      <c r="P674" s="18" t="n">
        <v>8</v>
      </c>
    </row>
    <row r="675">
      <c r="B675" s="10" t="inlineStr">
        <is>
          <t>DEL</t>
        </is>
      </c>
      <c r="C675" s="10" t="inlineStr">
        <is>
          <t>VEH-DEL-014</t>
        </is>
      </c>
      <c r="D675" s="10" t="n">
        <v>8</v>
      </c>
      <c r="E675" s="10" t="inlineStr">
        <is>
          <t>ORD-DEL-002460</t>
        </is>
      </c>
      <c r="F675" s="10" t="inlineStr">
        <is>
          <t>ECOM_B2C</t>
        </is>
      </c>
      <c r="G675" s="10" t="inlineStr">
        <is>
          <t>Gurugram</t>
        </is>
      </c>
      <c r="H675" s="10" t="n">
        <v>3.3</v>
      </c>
      <c r="I675" s="10" t="n">
        <v>720</v>
      </c>
      <c r="J675" s="10" t="n">
        <v>900</v>
      </c>
      <c r="K675" s="12" t="n">
        <v>781.7</v>
      </c>
      <c r="L675" s="12" t="n">
        <v>0</v>
      </c>
      <c r="M675" s="10" t="inlineStr">
        <is>
          <t>Yes</t>
        </is>
      </c>
      <c r="N675" s="11" t="n">
        <v>1.111</v>
      </c>
      <c r="O675" s="11" t="n">
        <v>1.5</v>
      </c>
      <c r="P675" s="12" t="n">
        <v>3.3</v>
      </c>
    </row>
    <row r="676">
      <c r="B676" s="16" t="inlineStr">
        <is>
          <t>DEL</t>
        </is>
      </c>
      <c r="C676" s="16" t="inlineStr">
        <is>
          <t>VEH-DEL-014</t>
        </is>
      </c>
      <c r="D676" s="16" t="n">
        <v>9</v>
      </c>
      <c r="E676" s="16" t="inlineStr">
        <is>
          <t>ORD-DEL-002498</t>
        </is>
      </c>
      <c r="F676" s="16" t="inlineStr">
        <is>
          <t>ECOM_B2C</t>
        </is>
      </c>
      <c r="G676" s="16" t="inlineStr">
        <is>
          <t>Gurugram</t>
        </is>
      </c>
      <c r="H676" s="16" t="n">
        <v>0.76</v>
      </c>
      <c r="I676" s="16" t="n">
        <v>840</v>
      </c>
      <c r="J676" s="16" t="n">
        <v>960</v>
      </c>
      <c r="K676" s="18" t="n">
        <v>788.1</v>
      </c>
      <c r="L676" s="18" t="n">
        <v>0</v>
      </c>
      <c r="M676" s="16" t="inlineStr">
        <is>
          <t>Yes</t>
        </is>
      </c>
      <c r="N676" s="17" t="n">
        <v>0.8159999999999999</v>
      </c>
      <c r="O676" s="17" t="n">
        <v>1.102</v>
      </c>
      <c r="P676" s="18" t="n">
        <v>2.4</v>
      </c>
    </row>
    <row r="677">
      <c r="B677" s="10" t="inlineStr">
        <is>
          <t>DEL</t>
        </is>
      </c>
      <c r="C677" s="10" t="inlineStr">
        <is>
          <t>VEH-DEL-014</t>
        </is>
      </c>
      <c r="D677" s="10" t="n">
        <v>10</v>
      </c>
      <c r="E677" s="10" t="inlineStr">
        <is>
          <t>ORD-DEL-002417</t>
        </is>
      </c>
      <c r="F677" s="10" t="inlineStr">
        <is>
          <t>ECOM_B2C</t>
        </is>
      </c>
      <c r="G677" s="10" t="inlineStr">
        <is>
          <t>Gurugram</t>
        </is>
      </c>
      <c r="H677" s="10" t="n">
        <v>3.32</v>
      </c>
      <c r="I677" s="10" t="n">
        <v>900</v>
      </c>
      <c r="J677" s="10" t="n">
        <v>1080</v>
      </c>
      <c r="K677" s="12" t="n">
        <v>844.3</v>
      </c>
      <c r="L677" s="12" t="n">
        <v>0</v>
      </c>
      <c r="M677" s="10" t="inlineStr">
        <is>
          <t>Yes</t>
        </is>
      </c>
      <c r="N677" s="11" t="n">
        <v>0.08599999999999999</v>
      </c>
      <c r="O677" s="11" t="n">
        <v>0.116</v>
      </c>
      <c r="P677" s="12" t="n">
        <v>0.3</v>
      </c>
    </row>
    <row r="678">
      <c r="B678" s="16" t="inlineStr">
        <is>
          <t>DEL</t>
        </is>
      </c>
      <c r="C678" s="16" t="inlineStr">
        <is>
          <t>VEH-DEL-014</t>
        </is>
      </c>
      <c r="D678" s="16" t="n">
        <v>11</v>
      </c>
      <c r="E678" s="16" t="inlineStr">
        <is>
          <t>ORD-DEL-002466</t>
        </is>
      </c>
      <c r="F678" s="16" t="inlineStr">
        <is>
          <t>ECOM_B2C</t>
        </is>
      </c>
      <c r="G678" s="16" t="inlineStr">
        <is>
          <t>Gurugram</t>
        </is>
      </c>
      <c r="H678" s="16" t="n">
        <v>0.66</v>
      </c>
      <c r="I678" s="16" t="n">
        <v>900</v>
      </c>
      <c r="J678" s="16" t="n">
        <v>1080</v>
      </c>
      <c r="K678" s="18" t="n">
        <v>904.9</v>
      </c>
      <c r="L678" s="18" t="n">
        <v>0</v>
      </c>
      <c r="M678" s="16" t="inlineStr">
        <is>
          <t>Yes</t>
        </is>
      </c>
      <c r="N678" s="17" t="n">
        <v>0.293</v>
      </c>
      <c r="O678" s="17" t="n">
        <v>0.395</v>
      </c>
      <c r="P678" s="18" t="n">
        <v>0.9</v>
      </c>
    </row>
    <row r="679">
      <c r="B679" s="10" t="inlineStr">
        <is>
          <t>DEL</t>
        </is>
      </c>
      <c r="C679" s="10" t="inlineStr">
        <is>
          <t>VEH-DEL-014</t>
        </is>
      </c>
      <c r="D679" s="10" t="n">
        <v>12</v>
      </c>
      <c r="E679" s="10" t="inlineStr">
        <is>
          <t>ORD-DEL-002559</t>
        </is>
      </c>
      <c r="F679" s="10" t="inlineStr">
        <is>
          <t>ECOM_B2C</t>
        </is>
      </c>
      <c r="G679" s="10" t="inlineStr">
        <is>
          <t>Gurugram</t>
        </is>
      </c>
      <c r="H679" s="10" t="n">
        <v>0.45</v>
      </c>
      <c r="I679" s="10" t="n">
        <v>840</v>
      </c>
      <c r="J679" s="10" t="n">
        <v>960</v>
      </c>
      <c r="K679" s="12" t="n">
        <v>911.2</v>
      </c>
      <c r="L679" s="12" t="n">
        <v>0</v>
      </c>
      <c r="M679" s="10" t="inlineStr">
        <is>
          <t>Yes</t>
        </is>
      </c>
      <c r="N679" s="11" t="n">
        <v>0.786</v>
      </c>
      <c r="O679" s="11" t="n">
        <v>1.062</v>
      </c>
      <c r="P679" s="12" t="n">
        <v>2.3</v>
      </c>
    </row>
    <row r="680">
      <c r="B680" s="16" t="inlineStr">
        <is>
          <t>DEL</t>
        </is>
      </c>
      <c r="C680" s="16" t="inlineStr">
        <is>
          <t>VEH-DEL-014</t>
        </is>
      </c>
      <c r="D680" s="16" t="n">
        <v>13</v>
      </c>
      <c r="E680" s="16" t="inlineStr">
        <is>
          <t>ORD-DEL-002474</t>
        </is>
      </c>
      <c r="F680" s="16" t="inlineStr">
        <is>
          <t>ECOM_B2C</t>
        </is>
      </c>
      <c r="G680" s="16" t="inlineStr">
        <is>
          <t>Gurugram</t>
        </is>
      </c>
      <c r="H680" s="16" t="n">
        <v>3.33</v>
      </c>
      <c r="I680" s="16" t="n">
        <v>900</v>
      </c>
      <c r="J680" s="16" t="n">
        <v>1080</v>
      </c>
      <c r="K680" s="18" t="n">
        <v>921.8</v>
      </c>
      <c r="L680" s="18" t="n">
        <v>0</v>
      </c>
      <c r="M680" s="16" t="inlineStr">
        <is>
          <t>Yes</t>
        </is>
      </c>
      <c r="N680" s="17" t="n">
        <v>2.252</v>
      </c>
      <c r="O680" s="17" t="n">
        <v>3.041</v>
      </c>
      <c r="P680" s="18" t="n">
        <v>6.7</v>
      </c>
    </row>
    <row r="681">
      <c r="B681" s="10" t="inlineStr">
        <is>
          <t>DEL</t>
        </is>
      </c>
      <c r="C681" s="10" t="inlineStr">
        <is>
          <t>VEH-DEL-014</t>
        </is>
      </c>
      <c r="D681" s="10" t="n">
        <v>14</v>
      </c>
      <c r="E681" s="10" t="inlineStr">
        <is>
          <t>ORD-DEL-002523</t>
        </is>
      </c>
      <c r="F681" s="10" t="inlineStr">
        <is>
          <t>ECOM_B2C</t>
        </is>
      </c>
      <c r="G681" s="10" t="inlineStr">
        <is>
          <t>South Delhi</t>
        </is>
      </c>
      <c r="H681" s="10" t="n">
        <v>0.62</v>
      </c>
      <c r="I681" s="10" t="n">
        <v>900</v>
      </c>
      <c r="J681" s="10" t="n">
        <v>1080</v>
      </c>
      <c r="K681" s="12" t="n">
        <v>946</v>
      </c>
      <c r="L681" s="12" t="n">
        <v>0</v>
      </c>
      <c r="M681" s="10" t="inlineStr">
        <is>
          <t>Yes</t>
        </is>
      </c>
      <c r="N681" s="11" t="n">
        <v>6.823</v>
      </c>
      <c r="O681" s="11" t="n">
        <v>9.211</v>
      </c>
      <c r="P681" s="12" t="n">
        <v>20.2</v>
      </c>
    </row>
    <row r="682">
      <c r="B682" s="16" t="inlineStr">
        <is>
          <t>DEL</t>
        </is>
      </c>
      <c r="C682" s="16" t="inlineStr">
        <is>
          <t>VEH-DEL-014</t>
        </is>
      </c>
      <c r="D682" s="16" t="n">
        <v>15</v>
      </c>
      <c r="E682" s="16" t="inlineStr">
        <is>
          <t>ORD-DEL-002552</t>
        </is>
      </c>
      <c r="F682" s="16" t="inlineStr">
        <is>
          <t>ECOM_B2C</t>
        </is>
      </c>
      <c r="G682" s="16" t="inlineStr">
        <is>
          <t>South Delhi</t>
        </is>
      </c>
      <c r="H682" s="16" t="n">
        <v>4.64</v>
      </c>
      <c r="I682" s="16" t="n">
        <v>900</v>
      </c>
      <c r="J682" s="16" t="n">
        <v>1080</v>
      </c>
      <c r="K682" s="18" t="n">
        <v>950</v>
      </c>
      <c r="L682" s="18" t="n">
        <v>0</v>
      </c>
      <c r="M682" s="16" t="inlineStr">
        <is>
          <t>Yes</t>
        </is>
      </c>
      <c r="N682" s="17" t="n">
        <v>0</v>
      </c>
      <c r="O682" s="17" t="n">
        <v>0</v>
      </c>
      <c r="P682" s="18" t="n">
        <v>0</v>
      </c>
    </row>
    <row r="683">
      <c r="B683" s="10" t="inlineStr">
        <is>
          <t>DEL</t>
        </is>
      </c>
      <c r="C683" s="10" t="inlineStr">
        <is>
          <t>VEH-DEL-014</t>
        </is>
      </c>
      <c r="D683" s="10" t="n">
        <v>16</v>
      </c>
      <c r="E683" s="10" t="inlineStr">
        <is>
          <t>ORD-DEL-002435</t>
        </is>
      </c>
      <c r="F683" s="10" t="inlineStr">
        <is>
          <t>ECOM_B2C</t>
        </is>
      </c>
      <c r="G683" s="10" t="inlineStr">
        <is>
          <t>South Delhi</t>
        </is>
      </c>
      <c r="H683" s="10" t="n">
        <v>4.5</v>
      </c>
      <c r="I683" s="10" t="n">
        <v>900</v>
      </c>
      <c r="J683" s="10" t="n">
        <v>1080</v>
      </c>
      <c r="K683" s="12" t="n">
        <v>965.6</v>
      </c>
      <c r="L683" s="12" t="n">
        <v>0</v>
      </c>
      <c r="M683" s="10" t="inlineStr">
        <is>
          <t>Yes</t>
        </is>
      </c>
      <c r="N683" s="11" t="n">
        <v>3.91</v>
      </c>
      <c r="O683" s="11" t="n">
        <v>5.278</v>
      </c>
      <c r="P683" s="12" t="n">
        <v>11.6</v>
      </c>
    </row>
    <row r="684">
      <c r="B684" s="16" t="inlineStr">
        <is>
          <t>DEL</t>
        </is>
      </c>
      <c r="C684" s="16" t="inlineStr">
        <is>
          <t>VEH-DEL-014</t>
        </is>
      </c>
      <c r="D684" s="16" t="n">
        <v>17</v>
      </c>
      <c r="E684" s="16" t="inlineStr">
        <is>
          <t>ORD-DEL-002470</t>
        </is>
      </c>
      <c r="F684" s="16" t="inlineStr">
        <is>
          <t>ECOM_B2C</t>
        </is>
      </c>
      <c r="G684" s="16" t="inlineStr">
        <is>
          <t>South Delhi</t>
        </is>
      </c>
      <c r="H684" s="16" t="n">
        <v>1.46</v>
      </c>
      <c r="I684" s="16" t="n">
        <v>900</v>
      </c>
      <c r="J684" s="16" t="n">
        <v>1080</v>
      </c>
      <c r="K684" s="18" t="n">
        <v>970.8</v>
      </c>
      <c r="L684" s="18" t="n">
        <v>0</v>
      </c>
      <c r="M684" s="16" t="inlineStr">
        <is>
          <t>Yes</t>
        </is>
      </c>
      <c r="N684" s="17" t="n">
        <v>0.422</v>
      </c>
      <c r="O684" s="17" t="n">
        <v>0.57</v>
      </c>
      <c r="P684" s="18" t="n">
        <v>1.2</v>
      </c>
    </row>
    <row r="685">
      <c r="B685" s="10" t="inlineStr">
        <is>
          <t>DEL</t>
        </is>
      </c>
      <c r="C685" s="10" t="inlineStr">
        <is>
          <t>VEH-DEL-014</t>
        </is>
      </c>
      <c r="D685" s="10" t="n">
        <v>18</v>
      </c>
      <c r="E685" s="10" t="inlineStr">
        <is>
          <t>ORD-DEL-002482</t>
        </is>
      </c>
      <c r="F685" s="10" t="inlineStr">
        <is>
          <t>ECOM_B2C</t>
        </is>
      </c>
      <c r="G685" s="10" t="inlineStr">
        <is>
          <t>South Delhi</t>
        </is>
      </c>
      <c r="H685" s="10" t="n">
        <v>2.17</v>
      </c>
      <c r="I685" s="10" t="n">
        <v>900</v>
      </c>
      <c r="J685" s="10" t="n">
        <v>1080</v>
      </c>
      <c r="K685" s="12" t="n">
        <v>981.7</v>
      </c>
      <c r="L685" s="12" t="n">
        <v>0</v>
      </c>
      <c r="M685" s="10" t="inlineStr">
        <is>
          <t>Yes</t>
        </is>
      </c>
      <c r="N685" s="11" t="n">
        <v>2.322</v>
      </c>
      <c r="O685" s="11" t="n">
        <v>3.134</v>
      </c>
      <c r="P685" s="12" t="n">
        <v>6.9</v>
      </c>
    </row>
    <row r="686">
      <c r="B686" s="16" t="inlineStr">
        <is>
          <t>DEL</t>
        </is>
      </c>
      <c r="C686" s="16" t="inlineStr">
        <is>
          <t>VEH-DEL-014</t>
        </is>
      </c>
      <c r="D686" s="16" t="n">
        <v>19</v>
      </c>
      <c r="E686" s="16" t="inlineStr">
        <is>
          <t>ORD-DEL-002497</t>
        </is>
      </c>
      <c r="F686" s="16" t="inlineStr">
        <is>
          <t>ECOM_B2C</t>
        </is>
      </c>
      <c r="G686" s="16" t="inlineStr">
        <is>
          <t>South Delhi</t>
        </is>
      </c>
      <c r="H686" s="16" t="n">
        <v>6.8</v>
      </c>
      <c r="I686" s="16" t="n">
        <v>900</v>
      </c>
      <c r="J686" s="16" t="n">
        <v>1080</v>
      </c>
      <c r="K686" s="18" t="n">
        <v>986.9</v>
      </c>
      <c r="L686" s="18" t="n">
        <v>0</v>
      </c>
      <c r="M686" s="16" t="inlineStr">
        <is>
          <t>Yes</t>
        </is>
      </c>
      <c r="N686" s="17" t="n">
        <v>0.409</v>
      </c>
      <c r="O686" s="17" t="n">
        <v>0.552</v>
      </c>
      <c r="P686" s="18" t="n">
        <v>1.2</v>
      </c>
    </row>
    <row r="687">
      <c r="B687" s="10" t="inlineStr">
        <is>
          <t>DEL</t>
        </is>
      </c>
      <c r="C687" s="10" t="inlineStr">
        <is>
          <t>VEH-DEL-014</t>
        </is>
      </c>
      <c r="D687" s="10" t="n">
        <v>20</v>
      </c>
      <c r="E687" s="10" t="inlineStr">
        <is>
          <t>ORD-DEL-002516</t>
        </is>
      </c>
      <c r="F687" s="10" t="inlineStr">
        <is>
          <t>ECOM_B2C</t>
        </is>
      </c>
      <c r="G687" s="10" t="inlineStr">
        <is>
          <t>Central Delhi</t>
        </is>
      </c>
      <c r="H687" s="10" t="n">
        <v>4.75</v>
      </c>
      <c r="I687" s="10" t="n">
        <v>900</v>
      </c>
      <c r="J687" s="10" t="n">
        <v>1080</v>
      </c>
      <c r="K687" s="12" t="n">
        <v>1017.7</v>
      </c>
      <c r="L687" s="12" t="n">
        <v>0</v>
      </c>
      <c r="M687" s="10" t="inlineStr">
        <is>
          <t>Yes</t>
        </is>
      </c>
      <c r="N687" s="11" t="n">
        <v>8.795</v>
      </c>
      <c r="O687" s="11" t="n">
        <v>11.873</v>
      </c>
      <c r="P687" s="12" t="n">
        <v>26.8</v>
      </c>
    </row>
    <row r="688">
      <c r="B688" s="16" t="inlineStr">
        <is>
          <t>DEL</t>
        </is>
      </c>
      <c r="C688" s="16" t="inlineStr">
        <is>
          <t>VEH-DEL-014</t>
        </is>
      </c>
      <c r="D688" s="16" t="n">
        <v>21</v>
      </c>
      <c r="E688" s="16" t="inlineStr">
        <is>
          <t>ORD-DEL-002469</t>
        </is>
      </c>
      <c r="F688" s="16" t="inlineStr">
        <is>
          <t>ECOM_B2C</t>
        </is>
      </c>
      <c r="G688" s="16" t="inlineStr">
        <is>
          <t>Central Delhi</t>
        </is>
      </c>
      <c r="H688" s="16" t="n">
        <v>5.9</v>
      </c>
      <c r="I688" s="16" t="n">
        <v>900</v>
      </c>
      <c r="J688" s="16" t="n">
        <v>1080</v>
      </c>
      <c r="K688" s="18" t="n">
        <v>1035.6</v>
      </c>
      <c r="L688" s="18" t="n">
        <v>0</v>
      </c>
      <c r="M688" s="16" t="inlineStr">
        <is>
          <t>Yes</t>
        </is>
      </c>
      <c r="N688" s="17" t="n">
        <v>2.294</v>
      </c>
      <c r="O688" s="17" t="n">
        <v>3.096</v>
      </c>
      <c r="P688" s="18" t="n">
        <v>14</v>
      </c>
    </row>
    <row r="689">
      <c r="B689" s="10" t="inlineStr">
        <is>
          <t>DEL</t>
        </is>
      </c>
      <c r="C689" s="10" t="inlineStr">
        <is>
          <t>VEH-DEL-014</t>
        </is>
      </c>
      <c r="D689" s="10" t="n">
        <v>22</v>
      </c>
      <c r="E689" s="10" t="inlineStr">
        <is>
          <t>ORD-DEL-002493</t>
        </is>
      </c>
      <c r="F689" s="10" t="inlineStr">
        <is>
          <t>ECOM_B2C</t>
        </is>
      </c>
      <c r="G689" s="10" t="inlineStr">
        <is>
          <t>Central Delhi</t>
        </is>
      </c>
      <c r="H689" s="10" t="n">
        <v>10.9</v>
      </c>
      <c r="I689" s="10" t="n">
        <v>900</v>
      </c>
      <c r="J689" s="10" t="n">
        <v>1080</v>
      </c>
      <c r="K689" s="12" t="n">
        <v>1039.6</v>
      </c>
      <c r="L689" s="12" t="n">
        <v>0</v>
      </c>
      <c r="M689" s="10" t="inlineStr">
        <is>
          <t>Yes</t>
        </is>
      </c>
      <c r="N689" s="11" t="n">
        <v>0</v>
      </c>
      <c r="O689" s="11" t="n">
        <v>0</v>
      </c>
      <c r="P689" s="12" t="n">
        <v>0</v>
      </c>
    </row>
    <row r="690">
      <c r="B690" s="16" t="inlineStr">
        <is>
          <t>DEL</t>
        </is>
      </c>
      <c r="C690" s="16" t="inlineStr">
        <is>
          <t>VEH-DEL-014</t>
        </is>
      </c>
      <c r="D690" s="16" t="n">
        <v>23</v>
      </c>
      <c r="E690" s="16" t="inlineStr">
        <is>
          <t>ORD-DEL-002414</t>
        </is>
      </c>
      <c r="F690" s="16" t="inlineStr">
        <is>
          <t>ECOM_B2C</t>
        </is>
      </c>
      <c r="G690" s="16" t="inlineStr">
        <is>
          <t>Central Delhi</t>
        </is>
      </c>
      <c r="H690" s="16" t="n">
        <v>1.61</v>
      </c>
      <c r="I690" s="16" t="n">
        <v>900</v>
      </c>
      <c r="J690" s="16" t="n">
        <v>1080</v>
      </c>
      <c r="K690" s="18" t="n">
        <v>1050.6</v>
      </c>
      <c r="L690" s="18" t="n">
        <v>0</v>
      </c>
      <c r="M690" s="16" t="inlineStr">
        <is>
          <t>Yes</t>
        </is>
      </c>
      <c r="N690" s="17" t="n">
        <v>1.151</v>
      </c>
      <c r="O690" s="17" t="n">
        <v>1.554</v>
      </c>
      <c r="P690" s="18" t="n">
        <v>7</v>
      </c>
    </row>
    <row r="691">
      <c r="B691" s="10" t="inlineStr">
        <is>
          <t>DEL</t>
        </is>
      </c>
      <c r="C691" s="10" t="inlineStr">
        <is>
          <t>VEH-DEL-014</t>
        </is>
      </c>
      <c r="D691" s="10" t="n">
        <v>24</v>
      </c>
      <c r="E691" s="10" t="inlineStr">
        <is>
          <t>ORD-DEL-002560</t>
        </is>
      </c>
      <c r="F691" s="10" t="inlineStr">
        <is>
          <t>ECOM_B2C</t>
        </is>
      </c>
      <c r="G691" s="10" t="inlineStr">
        <is>
          <t>Central Delhi</t>
        </is>
      </c>
      <c r="H691" s="10" t="n">
        <v>4.87</v>
      </c>
      <c r="I691" s="10" t="n">
        <v>1080</v>
      </c>
      <c r="J691" s="10" t="n">
        <v>1260</v>
      </c>
      <c r="K691" s="12" t="n">
        <v>1054.6</v>
      </c>
      <c r="L691" s="12" t="n">
        <v>0</v>
      </c>
      <c r="M691" s="10" t="inlineStr">
        <is>
          <t>Yes</t>
        </is>
      </c>
      <c r="N691" s="11" t="n">
        <v>0</v>
      </c>
      <c r="O691" s="11" t="n">
        <v>0</v>
      </c>
      <c r="P691" s="12" t="n">
        <v>0</v>
      </c>
    </row>
    <row r="692">
      <c r="B692" s="16" t="inlineStr">
        <is>
          <t>DEL</t>
        </is>
      </c>
      <c r="C692" s="16" t="inlineStr">
        <is>
          <t>VEH-DEL-014</t>
        </is>
      </c>
      <c r="D692" s="16" t="n">
        <v>25</v>
      </c>
      <c r="E692" s="16" t="inlineStr">
        <is>
          <t>ORD-DEL-002444</t>
        </is>
      </c>
      <c r="F692" s="16" t="inlineStr">
        <is>
          <t>ECOM_B2C</t>
        </is>
      </c>
      <c r="G692" s="16" t="inlineStr">
        <is>
          <t>Central Delhi</t>
        </is>
      </c>
      <c r="H692" s="16" t="n">
        <v>17.24</v>
      </c>
      <c r="I692" s="16" t="n">
        <v>1080</v>
      </c>
      <c r="J692" s="16" t="n">
        <v>1260</v>
      </c>
      <c r="K692" s="18" t="n">
        <v>1084</v>
      </c>
      <c r="L692" s="18" t="n">
        <v>0</v>
      </c>
      <c r="M692" s="16" t="inlineStr">
        <is>
          <t>Yes</t>
        </is>
      </c>
      <c r="N692" s="17" t="n">
        <v>0</v>
      </c>
      <c r="O692" s="17" t="n">
        <v>0</v>
      </c>
      <c r="P692" s="18" t="n">
        <v>0</v>
      </c>
    </row>
    <row r="693">
      <c r="B693" s="10" t="inlineStr">
        <is>
          <t>DEL</t>
        </is>
      </c>
      <c r="C693" s="10" t="inlineStr">
        <is>
          <t>VEH-DEL-014</t>
        </is>
      </c>
      <c r="D693" s="10" t="n">
        <v>26</v>
      </c>
      <c r="E693" s="10" t="inlineStr">
        <is>
          <t>ORD-DEL-002501</t>
        </is>
      </c>
      <c r="F693" s="10" t="inlineStr">
        <is>
          <t>ECOM_B2C</t>
        </is>
      </c>
      <c r="G693" s="10" t="inlineStr">
        <is>
          <t>Central Delhi</t>
        </is>
      </c>
      <c r="H693" s="10" t="n">
        <v>4.44</v>
      </c>
      <c r="I693" s="10" t="n">
        <v>1080</v>
      </c>
      <c r="J693" s="10" t="n">
        <v>1260</v>
      </c>
      <c r="K693" s="12" t="n">
        <v>1091.3</v>
      </c>
      <c r="L693" s="12" t="n">
        <v>0</v>
      </c>
      <c r="M693" s="10" t="inlineStr">
        <is>
          <t>Yes</t>
        </is>
      </c>
      <c r="N693" s="11" t="n">
        <v>0.542</v>
      </c>
      <c r="O693" s="11" t="n">
        <v>0.731</v>
      </c>
      <c r="P693" s="12" t="n">
        <v>3.3</v>
      </c>
    </row>
    <row r="694">
      <c r="B694" s="16" t="inlineStr">
        <is>
          <t>DEL</t>
        </is>
      </c>
      <c r="C694" s="16" t="inlineStr">
        <is>
          <t>VEH-DEL-014</t>
        </is>
      </c>
      <c r="D694" s="16" t="n">
        <v>27</v>
      </c>
      <c r="E694" s="16" t="inlineStr">
        <is>
          <t>ORD-DEL-002535</t>
        </is>
      </c>
      <c r="F694" s="16" t="inlineStr">
        <is>
          <t>ECOM_B2C</t>
        </is>
      </c>
      <c r="G694" s="16" t="inlineStr">
        <is>
          <t>South Delhi</t>
        </is>
      </c>
      <c r="H694" s="16" t="n">
        <v>6.97</v>
      </c>
      <c r="I694" s="16" t="n">
        <v>1080</v>
      </c>
      <c r="J694" s="16" t="n">
        <v>1260</v>
      </c>
      <c r="K694" s="18" t="n">
        <v>1162.4</v>
      </c>
      <c r="L694" s="18" t="n">
        <v>0</v>
      </c>
      <c r="M694" s="16" t="inlineStr">
        <is>
          <t>Yes</t>
        </is>
      </c>
      <c r="N694" s="17" t="n">
        <v>11.346</v>
      </c>
      <c r="O694" s="17" t="n">
        <v>15.318</v>
      </c>
      <c r="P694" s="18" t="n">
        <v>67.09999999999999</v>
      </c>
    </row>
    <row r="695">
      <c r="B695" s="10" t="inlineStr">
        <is>
          <t>DEL</t>
        </is>
      </c>
      <c r="C695" s="10" t="inlineStr">
        <is>
          <t>VEH-DEL-014</t>
        </is>
      </c>
      <c r="D695" s="10" t="n">
        <v>28</v>
      </c>
      <c r="E695" s="10" t="inlineStr">
        <is>
          <t>ORD-DEL-002471</t>
        </is>
      </c>
      <c r="F695" s="10" t="inlineStr">
        <is>
          <t>ECOM_B2C</t>
        </is>
      </c>
      <c r="G695" s="10" t="inlineStr">
        <is>
          <t>South Delhi</t>
        </is>
      </c>
      <c r="H695" s="10" t="n">
        <v>16.98</v>
      </c>
      <c r="I695" s="10" t="n">
        <v>1080</v>
      </c>
      <c r="J695" s="10" t="n">
        <v>1260</v>
      </c>
      <c r="K695" s="12" t="n">
        <v>1193.3</v>
      </c>
      <c r="L695" s="12" t="n">
        <v>0</v>
      </c>
      <c r="M695" s="10" t="inlineStr">
        <is>
          <t>Yes</t>
        </is>
      </c>
      <c r="N695" s="11" t="n">
        <v>4.544</v>
      </c>
      <c r="O695" s="11" t="n">
        <v>6.134</v>
      </c>
      <c r="P695" s="12" t="n">
        <v>26.9</v>
      </c>
    </row>
    <row r="696">
      <c r="B696" s="16" t="inlineStr">
        <is>
          <t>DEL</t>
        </is>
      </c>
      <c r="C696" s="16" t="inlineStr">
        <is>
          <t>VEH-DEL-014</t>
        </is>
      </c>
      <c r="D696" s="16" t="n">
        <v>29</v>
      </c>
      <c r="E696" s="16" t="inlineStr">
        <is>
          <t>ORD-DEL-002554</t>
        </is>
      </c>
      <c r="F696" s="16" t="inlineStr">
        <is>
          <t>ECOM_B2C</t>
        </is>
      </c>
      <c r="G696" s="16" t="inlineStr">
        <is>
          <t>South Delhi</t>
        </is>
      </c>
      <c r="H696" s="16" t="n">
        <v>5.66</v>
      </c>
      <c r="I696" s="16" t="n">
        <v>1080</v>
      </c>
      <c r="J696" s="16" t="n">
        <v>1260</v>
      </c>
      <c r="K696" s="18" t="n">
        <v>1230.3</v>
      </c>
      <c r="L696" s="18" t="n">
        <v>0</v>
      </c>
      <c r="M696" s="16" t="inlineStr">
        <is>
          <t>Yes</t>
        </is>
      </c>
      <c r="N696" s="17" t="n">
        <v>5.586</v>
      </c>
      <c r="O696" s="17" t="n">
        <v>7.541</v>
      </c>
      <c r="P696" s="18" t="n">
        <v>33</v>
      </c>
    </row>
    <row r="697">
      <c r="B697" s="10" t="inlineStr">
        <is>
          <t>DEL</t>
        </is>
      </c>
      <c r="C697" s="10" t="inlineStr">
        <is>
          <t>VEH-DEL-015</t>
        </is>
      </c>
      <c r="D697" s="10" t="n">
        <v>1</v>
      </c>
      <c r="E697" s="10" t="inlineStr">
        <is>
          <t>ORD-DEL-002441</t>
        </is>
      </c>
      <c r="F697" s="10" t="inlineStr">
        <is>
          <t>ECOM_B2C</t>
        </is>
      </c>
      <c r="G697" s="10" t="inlineStr">
        <is>
          <t>Gurugram</t>
        </is>
      </c>
      <c r="H697" s="10" t="n">
        <v>1.95</v>
      </c>
      <c r="I697" s="10" t="n">
        <v>900</v>
      </c>
      <c r="J697" s="10" t="n">
        <v>1080</v>
      </c>
      <c r="K697" s="12" t="n">
        <v>900</v>
      </c>
      <c r="L697" s="12" t="n">
        <v>0</v>
      </c>
      <c r="M697" s="10" t="inlineStr">
        <is>
          <t>Yes</t>
        </is>
      </c>
      <c r="N697" s="11" t="n">
        <v>20.356</v>
      </c>
      <c r="O697" s="11" t="n">
        <v>27.481</v>
      </c>
      <c r="P697" s="12" t="n">
        <v>56.2</v>
      </c>
    </row>
    <row r="698">
      <c r="B698" s="16" t="inlineStr">
        <is>
          <t>DEL</t>
        </is>
      </c>
      <c r="C698" s="16" t="inlineStr">
        <is>
          <t>VEH-DEL-015</t>
        </is>
      </c>
      <c r="D698" s="16" t="n">
        <v>2</v>
      </c>
      <c r="E698" s="16" t="inlineStr">
        <is>
          <t>ORD-DEL-002558</t>
        </is>
      </c>
      <c r="F698" s="16" t="inlineStr">
        <is>
          <t>ECOM_B2C</t>
        </is>
      </c>
      <c r="G698" s="16" t="inlineStr">
        <is>
          <t>Gurugram</t>
        </is>
      </c>
      <c r="H698" s="16" t="n">
        <v>0.26</v>
      </c>
      <c r="I698" s="16" t="n">
        <v>1080</v>
      </c>
      <c r="J698" s="16" t="n">
        <v>1200</v>
      </c>
      <c r="K698" s="18" t="n">
        <v>904</v>
      </c>
      <c r="L698" s="18" t="n">
        <v>0</v>
      </c>
      <c r="M698" s="16" t="inlineStr">
        <is>
          <t>Yes</t>
        </is>
      </c>
      <c r="N698" s="17" t="n">
        <v>0</v>
      </c>
      <c r="O698" s="17" t="n">
        <v>0</v>
      </c>
      <c r="P698" s="18" t="n">
        <v>0</v>
      </c>
    </row>
    <row r="699">
      <c r="B699" s="10" t="inlineStr">
        <is>
          <t>DEL</t>
        </is>
      </c>
      <c r="C699" s="10" t="inlineStr">
        <is>
          <t>VEH-DEL-015</t>
        </is>
      </c>
      <c r="D699" s="10" t="n">
        <v>3</v>
      </c>
      <c r="E699" s="10" t="inlineStr">
        <is>
          <t>ORD-DEL-002484</t>
        </is>
      </c>
      <c r="F699" s="10" t="inlineStr">
        <is>
          <t>ECOM_B2C</t>
        </is>
      </c>
      <c r="G699" s="10" t="inlineStr">
        <is>
          <t>Gurugram</t>
        </is>
      </c>
      <c r="H699" s="10" t="n">
        <v>4.75</v>
      </c>
      <c r="I699" s="10" t="n">
        <v>1080</v>
      </c>
      <c r="J699" s="10" t="n">
        <v>1200</v>
      </c>
      <c r="K699" s="12" t="n">
        <v>1112.7</v>
      </c>
      <c r="L699" s="12" t="n">
        <v>0</v>
      </c>
      <c r="M699" s="10" t="inlineStr">
        <is>
          <t>Yes</t>
        </is>
      </c>
      <c r="N699" s="11" t="n">
        <v>5.204</v>
      </c>
      <c r="O699" s="11" t="n">
        <v>7.025</v>
      </c>
      <c r="P699" s="12" t="n">
        <v>28.7</v>
      </c>
    </row>
    <row r="700">
      <c r="B700" s="16" t="inlineStr">
        <is>
          <t>DEL</t>
        </is>
      </c>
      <c r="C700" s="16" t="inlineStr">
        <is>
          <t>VEH-DEL-015</t>
        </is>
      </c>
      <c r="D700" s="16" t="n">
        <v>4</v>
      </c>
      <c r="E700" s="16" t="inlineStr">
        <is>
          <t>ORD-DEL-002538</t>
        </is>
      </c>
      <c r="F700" s="16" t="inlineStr">
        <is>
          <t>ECOM_B2C</t>
        </is>
      </c>
      <c r="G700" s="16" t="inlineStr">
        <is>
          <t>Gurugram</t>
        </is>
      </c>
      <c r="H700" s="16" t="n">
        <v>2.18</v>
      </c>
      <c r="I700" s="16" t="n">
        <v>1080</v>
      </c>
      <c r="J700" s="16" t="n">
        <v>1260</v>
      </c>
      <c r="K700" s="18" t="n">
        <v>1116.7</v>
      </c>
      <c r="L700" s="18" t="n">
        <v>0</v>
      </c>
      <c r="M700" s="16" t="inlineStr">
        <is>
          <t>Yes</t>
        </is>
      </c>
      <c r="N700" s="17" t="n">
        <v>0</v>
      </c>
      <c r="O700" s="17" t="n">
        <v>0</v>
      </c>
      <c r="P700" s="18" t="n">
        <v>0</v>
      </c>
    </row>
    <row r="701">
      <c r="B701" s="10" t="inlineStr">
        <is>
          <t>DEL</t>
        </is>
      </c>
      <c r="C701" s="10" t="inlineStr">
        <is>
          <t>VEH-DEL-015</t>
        </is>
      </c>
      <c r="D701" s="10" t="n">
        <v>5</v>
      </c>
      <c r="E701" s="10" t="inlineStr">
        <is>
          <t>ORD-DEL-002514</t>
        </is>
      </c>
      <c r="F701" s="10" t="inlineStr">
        <is>
          <t>ECOM_B2C</t>
        </is>
      </c>
      <c r="G701" s="10" t="inlineStr">
        <is>
          <t>Gurugram</t>
        </is>
      </c>
      <c r="H701" s="10" t="n">
        <v>1.8</v>
      </c>
      <c r="I701" s="10" t="n">
        <v>1080</v>
      </c>
      <c r="J701" s="10" t="n">
        <v>1200</v>
      </c>
      <c r="K701" s="12" t="n">
        <v>1120.7</v>
      </c>
      <c r="L701" s="12" t="n">
        <v>0</v>
      </c>
      <c r="M701" s="10" t="inlineStr">
        <is>
          <t>Yes</t>
        </is>
      </c>
      <c r="N701" s="11" t="n">
        <v>0</v>
      </c>
      <c r="O701" s="11" t="n">
        <v>0</v>
      </c>
      <c r="P701" s="12" t="n">
        <v>0</v>
      </c>
    </row>
    <row r="702">
      <c r="B702" s="16" t="inlineStr">
        <is>
          <t>DEL</t>
        </is>
      </c>
      <c r="C702" s="16" t="inlineStr">
        <is>
          <t>VEH-DEL-015</t>
        </is>
      </c>
      <c r="D702" s="16" t="n">
        <v>6</v>
      </c>
      <c r="E702" s="16" t="inlineStr">
        <is>
          <t>ORD-DEL-002433</t>
        </is>
      </c>
      <c r="F702" s="16" t="inlineStr">
        <is>
          <t>ECOM_B2C</t>
        </is>
      </c>
      <c r="G702" s="16" t="inlineStr">
        <is>
          <t>Gurugram</t>
        </is>
      </c>
      <c r="H702" s="16" t="n">
        <v>8.140000000000001</v>
      </c>
      <c r="I702" s="16" t="n">
        <v>1080</v>
      </c>
      <c r="J702" s="16" t="n">
        <v>1260</v>
      </c>
      <c r="K702" s="18" t="n">
        <v>1129.7</v>
      </c>
      <c r="L702" s="18" t="n">
        <v>0</v>
      </c>
      <c r="M702" s="16" t="inlineStr">
        <is>
          <t>Yes</t>
        </is>
      </c>
      <c r="N702" s="17" t="n">
        <v>0.896</v>
      </c>
      <c r="O702" s="17" t="n">
        <v>1.209</v>
      </c>
      <c r="P702" s="18" t="n">
        <v>4.9</v>
      </c>
    </row>
    <row r="703">
      <c r="B703" s="10" t="inlineStr">
        <is>
          <t>DEL</t>
        </is>
      </c>
      <c r="C703" s="10" t="inlineStr">
        <is>
          <t>VEH-DEL-015</t>
        </is>
      </c>
      <c r="D703" s="10" t="n">
        <v>7</v>
      </c>
      <c r="E703" s="10" t="inlineStr">
        <is>
          <t>ORD-DEL-002463</t>
        </is>
      </c>
      <c r="F703" s="10" t="inlineStr">
        <is>
          <t>ECOM_B2C</t>
        </is>
      </c>
      <c r="G703" s="10" t="inlineStr">
        <is>
          <t>Gurugram</t>
        </is>
      </c>
      <c r="H703" s="10" t="n">
        <v>4.27</v>
      </c>
      <c r="I703" s="10" t="n">
        <v>1080</v>
      </c>
      <c r="J703" s="10" t="n">
        <v>1260</v>
      </c>
      <c r="K703" s="12" t="n">
        <v>1133.7</v>
      </c>
      <c r="L703" s="12" t="n">
        <v>0</v>
      </c>
      <c r="M703" s="10" t="inlineStr">
        <is>
          <t>Yes</t>
        </is>
      </c>
      <c r="N703" s="11" t="n">
        <v>0</v>
      </c>
      <c r="O703" s="11" t="n">
        <v>0</v>
      </c>
      <c r="P703" s="12" t="n">
        <v>0</v>
      </c>
    </row>
    <row r="704">
      <c r="B704" s="16" t="inlineStr">
        <is>
          <t>DEL</t>
        </is>
      </c>
      <c r="C704" s="16" t="inlineStr">
        <is>
          <t>VEH-DEL-015</t>
        </is>
      </c>
      <c r="D704" s="16" t="n">
        <v>8</v>
      </c>
      <c r="E704" s="16" t="inlineStr">
        <is>
          <t>ORD-DEL-002502</t>
        </is>
      </c>
      <c r="F704" s="16" t="inlineStr">
        <is>
          <t>ECOM_B2C</t>
        </is>
      </c>
      <c r="G704" s="16" t="inlineStr">
        <is>
          <t>Gurugram</t>
        </is>
      </c>
      <c r="H704" s="16" t="n">
        <v>1.76</v>
      </c>
      <c r="I704" s="16" t="n">
        <v>1080</v>
      </c>
      <c r="J704" s="16" t="n">
        <v>1260</v>
      </c>
      <c r="K704" s="18" t="n">
        <v>1151.2</v>
      </c>
      <c r="L704" s="18" t="n">
        <v>0</v>
      </c>
      <c r="M704" s="16" t="inlineStr">
        <is>
          <t>Yes</t>
        </is>
      </c>
      <c r="N704" s="17" t="n">
        <v>2.461</v>
      </c>
      <c r="O704" s="17" t="n">
        <v>3.323</v>
      </c>
      <c r="P704" s="18" t="n">
        <v>13.6</v>
      </c>
    </row>
    <row r="705">
      <c r="B705" s="10" t="inlineStr">
        <is>
          <t>DEL</t>
        </is>
      </c>
      <c r="C705" s="10" t="inlineStr">
        <is>
          <t>VEH-DEL-015</t>
        </is>
      </c>
      <c r="D705" s="10" t="n">
        <v>9</v>
      </c>
      <c r="E705" s="10" t="inlineStr">
        <is>
          <t>ORD-DEL-002546</t>
        </is>
      </c>
      <c r="F705" s="10" t="inlineStr">
        <is>
          <t>ECOM_B2C</t>
        </is>
      </c>
      <c r="G705" s="10" t="inlineStr">
        <is>
          <t>Gurugram</t>
        </is>
      </c>
      <c r="H705" s="10" t="n">
        <v>0.49</v>
      </c>
      <c r="I705" s="10" t="n">
        <v>1080</v>
      </c>
      <c r="J705" s="10" t="n">
        <v>1260</v>
      </c>
      <c r="K705" s="12" t="n">
        <v>1159.2</v>
      </c>
      <c r="L705" s="12" t="n">
        <v>0</v>
      </c>
      <c r="M705" s="10" t="inlineStr">
        <is>
          <t>Yes</t>
        </is>
      </c>
      <c r="N705" s="11" t="n">
        <v>0.725</v>
      </c>
      <c r="O705" s="11" t="n">
        <v>0.979</v>
      </c>
      <c r="P705" s="12" t="n">
        <v>4</v>
      </c>
    </row>
    <row r="706">
      <c r="B706" s="16" t="inlineStr">
        <is>
          <t>DEL</t>
        </is>
      </c>
      <c r="C706" s="16" t="inlineStr">
        <is>
          <t>VEH-DEL-015</t>
        </is>
      </c>
      <c r="D706" s="16" t="n">
        <v>10</v>
      </c>
      <c r="E706" s="16" t="inlineStr">
        <is>
          <t>ORD-DEL-002530</t>
        </is>
      </c>
      <c r="F706" s="16" t="inlineStr">
        <is>
          <t>ECOM_B2C</t>
        </is>
      </c>
      <c r="G706" s="16" t="inlineStr">
        <is>
          <t>Gurugram</t>
        </is>
      </c>
      <c r="H706" s="16" t="n">
        <v>0.2</v>
      </c>
      <c r="I706" s="16" t="n">
        <v>1080</v>
      </c>
      <c r="J706" s="16" t="n">
        <v>1260</v>
      </c>
      <c r="K706" s="18" t="n">
        <v>1166.2</v>
      </c>
      <c r="L706" s="18" t="n">
        <v>0</v>
      </c>
      <c r="M706" s="16" t="inlineStr">
        <is>
          <t>Yes</t>
        </is>
      </c>
      <c r="N706" s="17" t="n">
        <v>0.534</v>
      </c>
      <c r="O706" s="17" t="n">
        <v>0.721</v>
      </c>
      <c r="P706" s="18" t="n">
        <v>2.9</v>
      </c>
    </row>
    <row r="707">
      <c r="B707" s="10" t="inlineStr">
        <is>
          <t>DEL</t>
        </is>
      </c>
      <c r="C707" s="10" t="inlineStr">
        <is>
          <t>VEH-DEL-015</t>
        </is>
      </c>
      <c r="D707" s="10" t="n">
        <v>11</v>
      </c>
      <c r="E707" s="10" t="inlineStr">
        <is>
          <t>ORD-DEL-002563</t>
        </is>
      </c>
      <c r="F707" s="10" t="inlineStr">
        <is>
          <t>ECOM_B2C</t>
        </is>
      </c>
      <c r="G707" s="10" t="inlineStr">
        <is>
          <t>Gurugram</t>
        </is>
      </c>
      <c r="H707" s="10" t="n">
        <v>8.65</v>
      </c>
      <c r="I707" s="10" t="n">
        <v>1080</v>
      </c>
      <c r="J707" s="10" t="n">
        <v>1260</v>
      </c>
      <c r="K707" s="12" t="n">
        <v>1170.2</v>
      </c>
      <c r="L707" s="12" t="n">
        <v>0</v>
      </c>
      <c r="M707" s="10" t="inlineStr">
        <is>
          <t>Yes</t>
        </is>
      </c>
      <c r="N707" s="11" t="n">
        <v>0</v>
      </c>
      <c r="O707" s="11" t="n">
        <v>0</v>
      </c>
      <c r="P707" s="12" t="n">
        <v>0</v>
      </c>
    </row>
    <row r="708">
      <c r="B708" s="16" t="inlineStr">
        <is>
          <t>DEL</t>
        </is>
      </c>
      <c r="C708" s="16" t="inlineStr">
        <is>
          <t>VEH-DEL-016</t>
        </is>
      </c>
      <c r="D708" s="16" t="n">
        <v>1</v>
      </c>
      <c r="E708" s="16" t="inlineStr">
        <is>
          <t>ORD-DEL-002452</t>
        </is>
      </c>
      <c r="F708" s="16" t="inlineStr">
        <is>
          <t>ECOM_B2C</t>
        </is>
      </c>
      <c r="G708" s="16" t="inlineStr">
        <is>
          <t>Noida</t>
        </is>
      </c>
      <c r="H708" s="16" t="n">
        <v>2.35</v>
      </c>
      <c r="I708" s="16" t="n">
        <v>720</v>
      </c>
      <c r="J708" s="16" t="n">
        <v>900</v>
      </c>
      <c r="K708" s="18" t="n">
        <v>720</v>
      </c>
      <c r="L708" s="18" t="n">
        <v>0</v>
      </c>
      <c r="M708" s="16" t="inlineStr">
        <is>
          <t>Yes</t>
        </is>
      </c>
      <c r="N708" s="17" t="n">
        <v>5.578</v>
      </c>
      <c r="O708" s="17" t="n">
        <v>7.53</v>
      </c>
      <c r="P708" s="18" t="n">
        <v>15.1</v>
      </c>
    </row>
    <row r="709">
      <c r="B709" s="10" t="inlineStr">
        <is>
          <t>DEL</t>
        </is>
      </c>
      <c r="C709" s="10" t="inlineStr">
        <is>
          <t>VEH-DEL-016</t>
        </is>
      </c>
      <c r="D709" s="10" t="n">
        <v>2</v>
      </c>
      <c r="E709" s="10" t="inlineStr">
        <is>
          <t>ORD-DEL-002401</t>
        </is>
      </c>
      <c r="F709" s="10" t="inlineStr">
        <is>
          <t>ECOM_B2C</t>
        </is>
      </c>
      <c r="G709" s="10" t="inlineStr">
        <is>
          <t>Noida</t>
        </is>
      </c>
      <c r="H709" s="10" t="n">
        <v>1.74</v>
      </c>
      <c r="I709" s="10" t="n">
        <v>720</v>
      </c>
      <c r="J709" s="10" t="n">
        <v>900</v>
      </c>
      <c r="K709" s="12" t="n">
        <v>725.9</v>
      </c>
      <c r="L709" s="12" t="n">
        <v>0</v>
      </c>
      <c r="M709" s="10" t="inlineStr">
        <is>
          <t>Yes</t>
        </is>
      </c>
      <c r="N709" s="11" t="n">
        <v>0.6909999999999999</v>
      </c>
      <c r="O709" s="11" t="n">
        <v>0.9330000000000001</v>
      </c>
      <c r="P709" s="12" t="n">
        <v>1.9</v>
      </c>
    </row>
    <row r="710">
      <c r="B710" s="16" t="inlineStr">
        <is>
          <t>DEL</t>
        </is>
      </c>
      <c r="C710" s="16" t="inlineStr">
        <is>
          <t>VEH-DEL-016</t>
        </is>
      </c>
      <c r="D710" s="16" t="n">
        <v>3</v>
      </c>
      <c r="E710" s="16" t="inlineStr">
        <is>
          <t>ORD-DEL-002411</t>
        </is>
      </c>
      <c r="F710" s="16" t="inlineStr">
        <is>
          <t>ECOM_B2C</t>
        </is>
      </c>
      <c r="G710" s="16" t="inlineStr">
        <is>
          <t>Noida</t>
        </is>
      </c>
      <c r="H710" s="16" t="n">
        <v>0.76</v>
      </c>
      <c r="I710" s="16" t="n">
        <v>720</v>
      </c>
      <c r="J710" s="16" t="n">
        <v>900</v>
      </c>
      <c r="K710" s="18" t="n">
        <v>731.1</v>
      </c>
      <c r="L710" s="18" t="n">
        <v>0</v>
      </c>
      <c r="M710" s="16" t="inlineStr">
        <is>
          <t>Yes</t>
        </is>
      </c>
      <c r="N710" s="17" t="n">
        <v>0.469</v>
      </c>
      <c r="O710" s="17" t="n">
        <v>0.633</v>
      </c>
      <c r="P710" s="18" t="n">
        <v>1.3</v>
      </c>
    </row>
    <row r="711">
      <c r="B711" s="10" t="inlineStr">
        <is>
          <t>DEL</t>
        </is>
      </c>
      <c r="C711" s="10" t="inlineStr">
        <is>
          <t>VEH-DEL-016</t>
        </is>
      </c>
      <c r="D711" s="10" t="n">
        <v>4</v>
      </c>
      <c r="E711" s="10" t="inlineStr">
        <is>
          <t>ORD-DEL-002477</t>
        </is>
      </c>
      <c r="F711" s="10" t="inlineStr">
        <is>
          <t>ECOM_B2C</t>
        </is>
      </c>
      <c r="G711" s="10" t="inlineStr">
        <is>
          <t>South Delhi</t>
        </is>
      </c>
      <c r="H711" s="10" t="n">
        <v>8.69</v>
      </c>
      <c r="I711" s="10" t="n">
        <v>900</v>
      </c>
      <c r="J711" s="10" t="n">
        <v>1080</v>
      </c>
      <c r="K711" s="12" t="n">
        <v>756.6</v>
      </c>
      <c r="L711" s="12" t="n">
        <v>0</v>
      </c>
      <c r="M711" s="10" t="inlineStr">
        <is>
          <t>Yes</t>
        </is>
      </c>
      <c r="N711" s="11" t="n">
        <v>7.78</v>
      </c>
      <c r="O711" s="11" t="n">
        <v>10.503</v>
      </c>
      <c r="P711" s="12" t="n">
        <v>21.5</v>
      </c>
    </row>
    <row r="712">
      <c r="B712" s="16" t="inlineStr">
        <is>
          <t>DEL</t>
        </is>
      </c>
      <c r="C712" s="16" t="inlineStr">
        <is>
          <t>VEH-DEL-016</t>
        </is>
      </c>
      <c r="D712" s="16" t="n">
        <v>5</v>
      </c>
      <c r="E712" s="16" t="inlineStr">
        <is>
          <t>ORD-DEL-002507</t>
        </is>
      </c>
      <c r="F712" s="16" t="inlineStr">
        <is>
          <t>ECOM_B2C</t>
        </is>
      </c>
      <c r="G712" s="16" t="inlineStr">
        <is>
          <t>South Delhi</t>
        </is>
      </c>
      <c r="H712" s="16" t="n">
        <v>1.98</v>
      </c>
      <c r="I712" s="16" t="n">
        <v>900</v>
      </c>
      <c r="J712" s="16" t="n">
        <v>1080</v>
      </c>
      <c r="K712" s="18" t="n">
        <v>906.5</v>
      </c>
      <c r="L712" s="18" t="n">
        <v>0</v>
      </c>
      <c r="M712" s="16" t="inlineStr">
        <is>
          <t>Yes</t>
        </is>
      </c>
      <c r="N712" s="17" t="n">
        <v>0.903</v>
      </c>
      <c r="O712" s="17" t="n">
        <v>1.219</v>
      </c>
      <c r="P712" s="18" t="n">
        <v>2.5</v>
      </c>
    </row>
    <row r="713">
      <c r="B713" s="10" t="inlineStr">
        <is>
          <t>DEL</t>
        </is>
      </c>
      <c r="C713" s="10" t="inlineStr">
        <is>
          <t>VEH-DEL-016</t>
        </is>
      </c>
      <c r="D713" s="10" t="n">
        <v>6</v>
      </c>
      <c r="E713" s="10" t="inlineStr">
        <is>
          <t>ORD-DEL-002412</t>
        </is>
      </c>
      <c r="F713" s="10" t="inlineStr">
        <is>
          <t>ECOM_B2C</t>
        </is>
      </c>
      <c r="G713" s="10" t="inlineStr">
        <is>
          <t>Gurugram</t>
        </is>
      </c>
      <c r="H713" s="10" t="n">
        <v>1.13</v>
      </c>
      <c r="I713" s="10" t="n">
        <v>900</v>
      </c>
      <c r="J713" s="10" t="n">
        <v>1080</v>
      </c>
      <c r="K713" s="12" t="n">
        <v>966</v>
      </c>
      <c r="L713" s="12" t="n">
        <v>0</v>
      </c>
      <c r="M713" s="10" t="inlineStr">
        <is>
          <t>Yes</t>
        </is>
      </c>
      <c r="N713" s="11" t="n">
        <v>20.132</v>
      </c>
      <c r="O713" s="11" t="n">
        <v>27.178</v>
      </c>
      <c r="P713" s="12" t="n">
        <v>55.5</v>
      </c>
    </row>
    <row r="714">
      <c r="B714" s="16" t="inlineStr">
        <is>
          <t>DEL</t>
        </is>
      </c>
      <c r="C714" s="16" t="inlineStr">
        <is>
          <t>VEH-DEL-016</t>
        </is>
      </c>
      <c r="D714" s="16" t="n">
        <v>7</v>
      </c>
      <c r="E714" s="16" t="inlineStr">
        <is>
          <t>ORD-DEL-002544</t>
        </is>
      </c>
      <c r="F714" s="16" t="inlineStr">
        <is>
          <t>ECOM_B2C</t>
        </is>
      </c>
      <c r="G714" s="16" t="inlineStr">
        <is>
          <t>West Delhi</t>
        </is>
      </c>
      <c r="H714" s="16" t="n">
        <v>1.67</v>
      </c>
      <c r="I714" s="16" t="n">
        <v>900</v>
      </c>
      <c r="J714" s="16" t="n">
        <v>1080</v>
      </c>
      <c r="K714" s="18" t="n">
        <v>1030.4</v>
      </c>
      <c r="L714" s="18" t="n">
        <v>0</v>
      </c>
      <c r="M714" s="16" t="inlineStr">
        <is>
          <t>Yes</t>
        </is>
      </c>
      <c r="N714" s="17" t="n">
        <v>21.559</v>
      </c>
      <c r="O714" s="17" t="n">
        <v>29.105</v>
      </c>
      <c r="P714" s="18" t="n">
        <v>60.4</v>
      </c>
    </row>
    <row r="715">
      <c r="B715" s="10" t="inlineStr">
        <is>
          <t>DEL</t>
        </is>
      </c>
      <c r="C715" s="10" t="inlineStr">
        <is>
          <t>VEH-DEL-016</t>
        </is>
      </c>
      <c r="D715" s="10" t="n">
        <v>8</v>
      </c>
      <c r="E715" s="10" t="inlineStr">
        <is>
          <t>ORD-DEL-002542</t>
        </is>
      </c>
      <c r="F715" s="10" t="inlineStr">
        <is>
          <t>ECOM_B2C</t>
        </is>
      </c>
      <c r="G715" s="10" t="inlineStr">
        <is>
          <t>West Delhi</t>
        </is>
      </c>
      <c r="H715" s="10" t="n">
        <v>1.73</v>
      </c>
      <c r="I715" s="10" t="n">
        <v>1080</v>
      </c>
      <c r="J715" s="10" t="n">
        <v>1260</v>
      </c>
      <c r="K715" s="12" t="n">
        <v>1062.7</v>
      </c>
      <c r="L715" s="12" t="n">
        <v>0</v>
      </c>
      <c r="M715" s="10" t="inlineStr">
        <is>
          <t>Yes</t>
        </is>
      </c>
      <c r="N715" s="11" t="n">
        <v>5.058</v>
      </c>
      <c r="O715" s="11" t="n">
        <v>6.828</v>
      </c>
      <c r="P715" s="12" t="n">
        <v>28.3</v>
      </c>
    </row>
    <row r="716">
      <c r="B716" s="16" t="inlineStr">
        <is>
          <t>DEL</t>
        </is>
      </c>
      <c r="C716" s="16" t="inlineStr">
        <is>
          <t>VEH-DEL-016</t>
        </is>
      </c>
      <c r="D716" s="16" t="n">
        <v>9</v>
      </c>
      <c r="E716" s="16" t="inlineStr">
        <is>
          <t>ORD-DEL-002406</t>
        </is>
      </c>
      <c r="F716" s="16" t="inlineStr">
        <is>
          <t>ECOM_B2C</t>
        </is>
      </c>
      <c r="G716" s="16" t="inlineStr">
        <is>
          <t>West Delhi</t>
        </is>
      </c>
      <c r="H716" s="16" t="n">
        <v>1.5</v>
      </c>
      <c r="I716" s="16" t="n">
        <v>1080</v>
      </c>
      <c r="J716" s="16" t="n">
        <v>1260</v>
      </c>
      <c r="K716" s="18" t="n">
        <v>1114.5</v>
      </c>
      <c r="L716" s="18" t="n">
        <v>0</v>
      </c>
      <c r="M716" s="16" t="inlineStr">
        <is>
          <t>Yes</t>
        </is>
      </c>
      <c r="N716" s="17" t="n">
        <v>5.453</v>
      </c>
      <c r="O716" s="17" t="n">
        <v>7.362</v>
      </c>
      <c r="P716" s="18" t="n">
        <v>30.5</v>
      </c>
    </row>
    <row r="717">
      <c r="B717" s="10" t="inlineStr">
        <is>
          <t>DEL</t>
        </is>
      </c>
      <c r="C717" s="10" t="inlineStr">
        <is>
          <t>VEH-DEL-016</t>
        </is>
      </c>
      <c r="D717" s="10" t="n">
        <v>10</v>
      </c>
      <c r="E717" s="10" t="inlineStr">
        <is>
          <t>ORD-DEL-002410</t>
        </is>
      </c>
      <c r="F717" s="10" t="inlineStr">
        <is>
          <t>ECOM_B2C</t>
        </is>
      </c>
      <c r="G717" s="10" t="inlineStr">
        <is>
          <t>West Delhi</t>
        </is>
      </c>
      <c r="H717" s="10" t="n">
        <v>1.81</v>
      </c>
      <c r="I717" s="10" t="n">
        <v>1080</v>
      </c>
      <c r="J717" s="10" t="n">
        <v>1260</v>
      </c>
      <c r="K717" s="12" t="n">
        <v>1140.8</v>
      </c>
      <c r="L717" s="12" t="n">
        <v>0</v>
      </c>
      <c r="M717" s="10" t="inlineStr">
        <is>
          <t>Yes</t>
        </is>
      </c>
      <c r="N717" s="11" t="n">
        <v>3.975</v>
      </c>
      <c r="O717" s="11" t="n">
        <v>5.366</v>
      </c>
      <c r="P717" s="12" t="n">
        <v>22.3</v>
      </c>
    </row>
    <row r="718">
      <c r="B718" s="16" t="inlineStr">
        <is>
          <t>DEL</t>
        </is>
      </c>
      <c r="C718" s="16" t="inlineStr">
        <is>
          <t>VEH-DEL-016</t>
        </is>
      </c>
      <c r="D718" s="16" t="n">
        <v>11</v>
      </c>
      <c r="E718" s="16" t="inlineStr">
        <is>
          <t>ORD-DEL-002557</t>
        </is>
      </c>
      <c r="F718" s="16" t="inlineStr">
        <is>
          <t>ECOM_B2C</t>
        </is>
      </c>
      <c r="G718" s="16" t="inlineStr">
        <is>
          <t>West Delhi</t>
        </is>
      </c>
      <c r="H718" s="16" t="n">
        <v>1.16</v>
      </c>
      <c r="I718" s="16" t="n">
        <v>1080</v>
      </c>
      <c r="J718" s="16" t="n">
        <v>1200</v>
      </c>
      <c r="K718" s="18" t="n">
        <v>1148.5</v>
      </c>
      <c r="L718" s="18" t="n">
        <v>0</v>
      </c>
      <c r="M718" s="16" t="inlineStr">
        <is>
          <t>Yes</t>
        </is>
      </c>
      <c r="N718" s="17" t="n">
        <v>0.653</v>
      </c>
      <c r="O718" s="17" t="n">
        <v>0.882</v>
      </c>
      <c r="P718" s="18" t="n">
        <v>3.7</v>
      </c>
    </row>
    <row r="719">
      <c r="B719" s="10" t="inlineStr">
        <is>
          <t>DEL</t>
        </is>
      </c>
      <c r="C719" s="10" t="inlineStr">
        <is>
          <t>VEH-DEL-016</t>
        </is>
      </c>
      <c r="D719" s="10" t="n">
        <v>12</v>
      </c>
      <c r="E719" s="10" t="inlineStr">
        <is>
          <t>ORD-DEL-002519</t>
        </is>
      </c>
      <c r="F719" s="10" t="inlineStr">
        <is>
          <t>ECOM_B2C</t>
        </is>
      </c>
      <c r="G719" s="10" t="inlineStr">
        <is>
          <t>West Delhi</t>
        </is>
      </c>
      <c r="H719" s="10" t="n">
        <v>1.01</v>
      </c>
      <c r="I719" s="10" t="n">
        <v>1080</v>
      </c>
      <c r="J719" s="10" t="n">
        <v>1200</v>
      </c>
      <c r="K719" s="12" t="n">
        <v>1155.6</v>
      </c>
      <c r="L719" s="12" t="n">
        <v>0</v>
      </c>
      <c r="M719" s="10" t="inlineStr">
        <is>
          <t>Yes</t>
        </is>
      </c>
      <c r="N719" s="11" t="n">
        <v>0.5620000000000001</v>
      </c>
      <c r="O719" s="11" t="n">
        <v>0.758</v>
      </c>
      <c r="P719" s="12" t="n">
        <v>3.1</v>
      </c>
    </row>
    <row r="720">
      <c r="B720" s="16" t="inlineStr">
        <is>
          <t>DEL</t>
        </is>
      </c>
      <c r="C720" s="16" t="inlineStr">
        <is>
          <t>VEH-DEL-016</t>
        </is>
      </c>
      <c r="D720" s="16" t="n">
        <v>13</v>
      </c>
      <c r="E720" s="16" t="inlineStr">
        <is>
          <t>ORD-DEL-002418</t>
        </is>
      </c>
      <c r="F720" s="16" t="inlineStr">
        <is>
          <t>ECOM_B2C</t>
        </is>
      </c>
      <c r="G720" s="16" t="inlineStr">
        <is>
          <t>West Delhi</t>
        </is>
      </c>
      <c r="H720" s="16" t="n">
        <v>2.5</v>
      </c>
      <c r="I720" s="16" t="n">
        <v>1080</v>
      </c>
      <c r="J720" s="16" t="n">
        <v>1260</v>
      </c>
      <c r="K720" s="18" t="n">
        <v>1165.6</v>
      </c>
      <c r="L720" s="18" t="n">
        <v>0</v>
      </c>
      <c r="M720" s="16" t="inlineStr">
        <is>
          <t>Yes</t>
        </is>
      </c>
      <c r="N720" s="17" t="n">
        <v>1.075</v>
      </c>
      <c r="O720" s="17" t="n">
        <v>1.451</v>
      </c>
      <c r="P720" s="18" t="n">
        <v>6</v>
      </c>
    </row>
    <row r="721">
      <c r="B721" s="10" t="inlineStr">
        <is>
          <t>DEL</t>
        </is>
      </c>
      <c r="C721" s="10" t="inlineStr">
        <is>
          <t>VEH-DEL-016</t>
        </is>
      </c>
      <c r="D721" s="10" t="n">
        <v>14</v>
      </c>
      <c r="E721" s="10" t="inlineStr">
        <is>
          <t>ORD-DEL-002494</t>
        </is>
      </c>
      <c r="F721" s="10" t="inlineStr">
        <is>
          <t>ECOM_B2C</t>
        </is>
      </c>
      <c r="G721" s="10" t="inlineStr">
        <is>
          <t>West Delhi</t>
        </is>
      </c>
      <c r="H721" s="10" t="n">
        <v>2.62</v>
      </c>
      <c r="I721" s="10" t="n">
        <v>1080</v>
      </c>
      <c r="J721" s="10" t="n">
        <v>1260</v>
      </c>
      <c r="K721" s="12" t="n">
        <v>1169.6</v>
      </c>
      <c r="L721" s="12" t="n">
        <v>0</v>
      </c>
      <c r="M721" s="10" t="inlineStr">
        <is>
          <t>Yes</t>
        </is>
      </c>
      <c r="N721" s="11" t="n">
        <v>0</v>
      </c>
      <c r="O721" s="11" t="n">
        <v>0</v>
      </c>
      <c r="P721" s="12" t="n">
        <v>0</v>
      </c>
    </row>
    <row r="722">
      <c r="B722" s="16" t="inlineStr">
        <is>
          <t>DEL</t>
        </is>
      </c>
      <c r="C722" s="16" t="inlineStr">
        <is>
          <t>VEH-DEL-016</t>
        </is>
      </c>
      <c r="D722" s="16" t="n">
        <v>15</v>
      </c>
      <c r="E722" s="16" t="inlineStr">
        <is>
          <t>ORD-DEL-002548</t>
        </is>
      </c>
      <c r="F722" s="16" t="inlineStr">
        <is>
          <t>ECOM_B2C</t>
        </is>
      </c>
      <c r="G722" s="16" t="inlineStr">
        <is>
          <t>South Delhi</t>
        </is>
      </c>
      <c r="H722" s="16" t="n">
        <v>1.53</v>
      </c>
      <c r="I722" s="16" t="n">
        <v>1080</v>
      </c>
      <c r="J722" s="16" t="n">
        <v>1260</v>
      </c>
      <c r="K722" s="18" t="n">
        <v>1247.6</v>
      </c>
      <c r="L722" s="18" t="n">
        <v>0</v>
      </c>
      <c r="M722" s="16" t="inlineStr">
        <is>
          <t>Yes</t>
        </is>
      </c>
      <c r="N722" s="17" t="n">
        <v>13.399</v>
      </c>
      <c r="O722" s="17" t="n">
        <v>18.089</v>
      </c>
      <c r="P722" s="18" t="n">
        <v>74</v>
      </c>
    </row>
    <row r="723">
      <c r="B723" s="10" t="inlineStr">
        <is>
          <t>DEL</t>
        </is>
      </c>
      <c r="C723" s="10" t="inlineStr">
        <is>
          <t>VEH-DEL-016</t>
        </is>
      </c>
      <c r="D723" s="10" t="n">
        <v>16</v>
      </c>
      <c r="E723" s="10" t="inlineStr">
        <is>
          <t>ORD-DEL-002457</t>
        </is>
      </c>
      <c r="F723" s="10" t="inlineStr">
        <is>
          <t>ECOM_B2C</t>
        </is>
      </c>
      <c r="G723" s="10" t="inlineStr">
        <is>
          <t>South Delhi</t>
        </is>
      </c>
      <c r="H723" s="10" t="n">
        <v>1</v>
      </c>
      <c r="I723" s="10" t="n">
        <v>1080</v>
      </c>
      <c r="J723" s="10" t="n">
        <v>1260</v>
      </c>
      <c r="K723" s="12" t="n">
        <v>1258.4</v>
      </c>
      <c r="L723" s="12" t="n">
        <v>0</v>
      </c>
      <c r="M723" s="10" t="inlineStr">
        <is>
          <t>Yes</t>
        </is>
      </c>
      <c r="N723" s="11" t="n">
        <v>1.223</v>
      </c>
      <c r="O723" s="11" t="n">
        <v>1.65</v>
      </c>
      <c r="P723" s="12" t="n">
        <v>6.8</v>
      </c>
    </row>
    <row r="724">
      <c r="B724" s="16" t="inlineStr">
        <is>
          <t>DEL</t>
        </is>
      </c>
      <c r="C724" s="16" t="inlineStr">
        <is>
          <t>VEH-DEL-017</t>
        </is>
      </c>
      <c r="D724" s="16" t="n">
        <v>1</v>
      </c>
      <c r="E724" s="16" t="inlineStr">
        <is>
          <t>ORD-DEL-002555</t>
        </is>
      </c>
      <c r="F724" s="16" t="inlineStr">
        <is>
          <t>ECOM_B2C</t>
        </is>
      </c>
      <c r="G724" s="16" t="inlineStr">
        <is>
          <t>Noida</t>
        </is>
      </c>
      <c r="H724" s="16" t="n">
        <v>2.51</v>
      </c>
      <c r="I724" s="16" t="n">
        <v>540</v>
      </c>
      <c r="J724" s="16" t="n">
        <v>720</v>
      </c>
      <c r="K724" s="18" t="n">
        <v>540</v>
      </c>
      <c r="L724" s="18" t="n">
        <v>0</v>
      </c>
      <c r="M724" s="16" t="inlineStr">
        <is>
          <t>Yes</t>
        </is>
      </c>
      <c r="N724" s="17" t="n">
        <v>5.578</v>
      </c>
      <c r="O724" s="17" t="n">
        <v>7.53</v>
      </c>
      <c r="P724" s="18" t="n">
        <v>24.7</v>
      </c>
    </row>
    <row r="725">
      <c r="B725" s="10" t="inlineStr">
        <is>
          <t>DEL</t>
        </is>
      </c>
      <c r="C725" s="10" t="inlineStr">
        <is>
          <t>VEH-DEL-017</t>
        </is>
      </c>
      <c r="D725" s="10" t="n">
        <v>2</v>
      </c>
      <c r="E725" s="10" t="inlineStr">
        <is>
          <t>ORD-DEL-002422</t>
        </is>
      </c>
      <c r="F725" s="10" t="inlineStr">
        <is>
          <t>ECOM_B2C</t>
        </is>
      </c>
      <c r="G725" s="10" t="inlineStr">
        <is>
          <t>Noida</t>
        </is>
      </c>
      <c r="H725" s="10" t="n">
        <v>2.62</v>
      </c>
      <c r="I725" s="10" t="n">
        <v>540</v>
      </c>
      <c r="J725" s="10" t="n">
        <v>720</v>
      </c>
      <c r="K725" s="12" t="n">
        <v>547.1</v>
      </c>
      <c r="L725" s="12" t="n">
        <v>0</v>
      </c>
      <c r="M725" s="10" t="inlineStr">
        <is>
          <t>Yes</t>
        </is>
      </c>
      <c r="N725" s="11" t="n">
        <v>0.6909999999999999</v>
      </c>
      <c r="O725" s="11" t="n">
        <v>0.9330000000000001</v>
      </c>
      <c r="P725" s="12" t="n">
        <v>3.1</v>
      </c>
    </row>
    <row r="726">
      <c r="B726" s="16" t="inlineStr">
        <is>
          <t>DEL</t>
        </is>
      </c>
      <c r="C726" s="16" t="inlineStr">
        <is>
          <t>VEH-DEL-017</t>
        </is>
      </c>
      <c r="D726" s="16" t="n">
        <v>3</v>
      </c>
      <c r="E726" s="16" t="inlineStr">
        <is>
          <t>ORD-DEL-002553</t>
        </is>
      </c>
      <c r="F726" s="16" t="inlineStr">
        <is>
          <t>ECOM_B2C</t>
        </is>
      </c>
      <c r="G726" s="16" t="inlineStr">
        <is>
          <t>South Delhi</t>
        </is>
      </c>
      <c r="H726" s="16" t="n">
        <v>8.18</v>
      </c>
      <c r="I726" s="16" t="n">
        <v>540</v>
      </c>
      <c r="J726" s="16" t="n">
        <v>720</v>
      </c>
      <c r="K726" s="18" t="n">
        <v>587</v>
      </c>
      <c r="L726" s="18" t="n">
        <v>0</v>
      </c>
      <c r="M726" s="16" t="inlineStr">
        <is>
          <t>Yes</t>
        </is>
      </c>
      <c r="N726" s="17" t="n">
        <v>7.96</v>
      </c>
      <c r="O726" s="17" t="n">
        <v>10.746</v>
      </c>
      <c r="P726" s="18" t="n">
        <v>36</v>
      </c>
    </row>
    <row r="727">
      <c r="B727" s="10" t="inlineStr">
        <is>
          <t>DEL</t>
        </is>
      </c>
      <c r="C727" s="10" t="inlineStr">
        <is>
          <t>VEH-DEL-017</t>
        </is>
      </c>
      <c r="D727" s="10" t="n">
        <v>4</v>
      </c>
      <c r="E727" s="10" t="inlineStr">
        <is>
          <t>ORD-DEL-002543</t>
        </is>
      </c>
      <c r="F727" s="10" t="inlineStr">
        <is>
          <t>ECOM_B2C</t>
        </is>
      </c>
      <c r="G727" s="10" t="inlineStr">
        <is>
          <t>South Delhi</t>
        </is>
      </c>
      <c r="H727" s="10" t="n">
        <v>1.04</v>
      </c>
      <c r="I727" s="10" t="n">
        <v>540</v>
      </c>
      <c r="J727" s="10" t="n">
        <v>720</v>
      </c>
      <c r="K727" s="12" t="n">
        <v>595.8</v>
      </c>
      <c r="L727" s="12" t="n">
        <v>0</v>
      </c>
      <c r="M727" s="10" t="inlineStr">
        <is>
          <t>Yes</t>
        </is>
      </c>
      <c r="N727" s="11" t="n">
        <v>1.065</v>
      </c>
      <c r="O727" s="11" t="n">
        <v>1.437</v>
      </c>
      <c r="P727" s="12" t="n">
        <v>4.8</v>
      </c>
    </row>
    <row r="728">
      <c r="B728" s="16" t="inlineStr">
        <is>
          <t>DEL</t>
        </is>
      </c>
      <c r="C728" s="16" t="inlineStr">
        <is>
          <t>VEH-DEL-017</t>
        </is>
      </c>
      <c r="D728" s="16" t="n">
        <v>5</v>
      </c>
      <c r="E728" s="16" t="inlineStr">
        <is>
          <t>ORD-DEL-002437</t>
        </is>
      </c>
      <c r="F728" s="16" t="inlineStr">
        <is>
          <t>ECOM_B2C</t>
        </is>
      </c>
      <c r="G728" s="16" t="inlineStr">
        <is>
          <t>South Delhi</t>
        </is>
      </c>
      <c r="H728" s="16" t="n">
        <v>0.64</v>
      </c>
      <c r="I728" s="16" t="n">
        <v>600</v>
      </c>
      <c r="J728" s="16" t="n">
        <v>720</v>
      </c>
      <c r="K728" s="18" t="n">
        <v>604.1</v>
      </c>
      <c r="L728" s="18" t="n">
        <v>0</v>
      </c>
      <c r="M728" s="16" t="inlineStr">
        <is>
          <t>Yes</t>
        </is>
      </c>
      <c r="N728" s="17" t="n">
        <v>0.9370000000000001</v>
      </c>
      <c r="O728" s="17" t="n">
        <v>1.265</v>
      </c>
      <c r="P728" s="18" t="n">
        <v>4.2</v>
      </c>
    </row>
    <row r="729">
      <c r="B729" s="10" t="inlineStr">
        <is>
          <t>DEL</t>
        </is>
      </c>
      <c r="C729" s="10" t="inlineStr">
        <is>
          <t>VEH-DEL-017</t>
        </is>
      </c>
      <c r="D729" s="10" t="n">
        <v>6</v>
      </c>
      <c r="E729" s="10" t="inlineStr">
        <is>
          <t>ORD-DEL-002446</t>
        </is>
      </c>
      <c r="F729" s="10" t="inlineStr">
        <is>
          <t>ECOM_B2C</t>
        </is>
      </c>
      <c r="G729" s="10" t="inlineStr">
        <is>
          <t>South Delhi</t>
        </is>
      </c>
      <c r="H729" s="10" t="n">
        <v>2.3</v>
      </c>
      <c r="I729" s="10" t="n">
        <v>600</v>
      </c>
      <c r="J729" s="10" t="n">
        <v>720</v>
      </c>
      <c r="K729" s="12" t="n">
        <v>613.6</v>
      </c>
      <c r="L729" s="12" t="n">
        <v>0</v>
      </c>
      <c r="M729" s="10" t="inlineStr">
        <is>
          <t>Yes</t>
        </is>
      </c>
      <c r="N729" s="11" t="n">
        <v>1.23</v>
      </c>
      <c r="O729" s="11" t="n">
        <v>1.661</v>
      </c>
      <c r="P729" s="12" t="n">
        <v>5.6</v>
      </c>
    </row>
    <row r="730">
      <c r="B730" s="16" t="inlineStr">
        <is>
          <t>DEL</t>
        </is>
      </c>
      <c r="C730" s="16" t="inlineStr">
        <is>
          <t>VEH-DEL-017</t>
        </is>
      </c>
      <c r="D730" s="16" t="n">
        <v>7</v>
      </c>
      <c r="E730" s="16" t="inlineStr">
        <is>
          <t>ORD-DEL-002508</t>
        </is>
      </c>
      <c r="F730" s="16" t="inlineStr">
        <is>
          <t>ECOM_B2C</t>
        </is>
      </c>
      <c r="G730" s="16" t="inlineStr">
        <is>
          <t>South Delhi</t>
        </is>
      </c>
      <c r="H730" s="16" t="n">
        <v>0.85</v>
      </c>
      <c r="I730" s="16" t="n">
        <v>600</v>
      </c>
      <c r="J730" s="16" t="n">
        <v>720</v>
      </c>
      <c r="K730" s="18" t="n">
        <v>646.2</v>
      </c>
      <c r="L730" s="18" t="n">
        <v>0</v>
      </c>
      <c r="M730" s="16" t="inlineStr">
        <is>
          <t>Yes</t>
        </is>
      </c>
      <c r="N730" s="17" t="n">
        <v>6.334</v>
      </c>
      <c r="O730" s="17" t="n">
        <v>8.551</v>
      </c>
      <c r="P730" s="18" t="n">
        <v>28.6</v>
      </c>
    </row>
    <row r="731">
      <c r="B731" s="10" t="inlineStr">
        <is>
          <t>DEL</t>
        </is>
      </c>
      <c r="C731" s="10" t="inlineStr">
        <is>
          <t>VEH-DEL-017</t>
        </is>
      </c>
      <c r="D731" s="10" t="n">
        <v>8</v>
      </c>
      <c r="E731" s="10" t="inlineStr">
        <is>
          <t>ORD-DEL-002534</t>
        </is>
      </c>
      <c r="F731" s="10" t="inlineStr">
        <is>
          <t>ECOM_B2C</t>
        </is>
      </c>
      <c r="G731" s="10" t="inlineStr">
        <is>
          <t>South Delhi</t>
        </is>
      </c>
      <c r="H731" s="10" t="n">
        <v>0.6899999999999999</v>
      </c>
      <c r="I731" s="10" t="n">
        <v>600</v>
      </c>
      <c r="J731" s="10" t="n">
        <v>720</v>
      </c>
      <c r="K731" s="12" t="n">
        <v>671.7</v>
      </c>
      <c r="L731" s="12" t="n">
        <v>0</v>
      </c>
      <c r="M731" s="10" t="inlineStr">
        <is>
          <t>Yes</t>
        </is>
      </c>
      <c r="N731" s="11" t="n">
        <v>4.758</v>
      </c>
      <c r="O731" s="11" t="n">
        <v>6.423</v>
      </c>
      <c r="P731" s="12" t="n">
        <v>21.5</v>
      </c>
    </row>
    <row r="732">
      <c r="B732" s="16" t="inlineStr">
        <is>
          <t>DEL</t>
        </is>
      </c>
      <c r="C732" s="16" t="inlineStr">
        <is>
          <t>VEH-DEL-017</t>
        </is>
      </c>
      <c r="D732" s="16" t="n">
        <v>9</v>
      </c>
      <c r="E732" s="16" t="inlineStr">
        <is>
          <t>ORD-DEL-002415</t>
        </is>
      </c>
      <c r="F732" s="16" t="inlineStr">
        <is>
          <t>ECOM_B2C</t>
        </is>
      </c>
      <c r="G732" s="16" t="inlineStr">
        <is>
          <t>Gurugram</t>
        </is>
      </c>
      <c r="H732" s="16" t="n">
        <v>1.14</v>
      </c>
      <c r="I732" s="16" t="n">
        <v>540</v>
      </c>
      <c r="J732" s="16" t="n">
        <v>720</v>
      </c>
      <c r="K732" s="18" t="n">
        <v>694.1</v>
      </c>
      <c r="L732" s="18" t="n">
        <v>0</v>
      </c>
      <c r="M732" s="16" t="inlineStr">
        <is>
          <t>Yes</t>
        </is>
      </c>
      <c r="N732" s="17" t="n">
        <v>6.647</v>
      </c>
      <c r="O732" s="17" t="n">
        <v>8.973000000000001</v>
      </c>
      <c r="P732" s="18" t="n">
        <v>18.3</v>
      </c>
    </row>
    <row r="733">
      <c r="B733" s="10" t="inlineStr">
        <is>
          <t>DEL</t>
        </is>
      </c>
      <c r="C733" s="10" t="inlineStr">
        <is>
          <t>VEH-DEL-017</t>
        </is>
      </c>
      <c r="D733" s="10" t="n">
        <v>10</v>
      </c>
      <c r="E733" s="10" t="inlineStr">
        <is>
          <t>ORD-DEL-002438</t>
        </is>
      </c>
      <c r="F733" s="10" t="inlineStr">
        <is>
          <t>ECOM_B2C</t>
        </is>
      </c>
      <c r="G733" s="10" t="inlineStr">
        <is>
          <t>Gurugram</t>
        </is>
      </c>
      <c r="H733" s="10" t="n">
        <v>5.29</v>
      </c>
      <c r="I733" s="10" t="n">
        <v>540</v>
      </c>
      <c r="J733" s="10" t="n">
        <v>720</v>
      </c>
      <c r="K733" s="12" t="n">
        <v>698.6</v>
      </c>
      <c r="L733" s="12" t="n">
        <v>0</v>
      </c>
      <c r="M733" s="10" t="inlineStr">
        <is>
          <t>Yes</t>
        </is>
      </c>
      <c r="N733" s="11" t="n">
        <v>0.185</v>
      </c>
      <c r="O733" s="11" t="n">
        <v>0.25</v>
      </c>
      <c r="P733" s="12" t="n">
        <v>0.5</v>
      </c>
    </row>
    <row r="734">
      <c r="B734" s="16" t="inlineStr">
        <is>
          <t>DEL</t>
        </is>
      </c>
      <c r="C734" s="16" t="inlineStr">
        <is>
          <t>VEH-DEL-017</t>
        </is>
      </c>
      <c r="D734" s="16" t="n">
        <v>11</v>
      </c>
      <c r="E734" s="16" t="inlineStr">
        <is>
          <t>ORD-DEL-002404</t>
        </is>
      </c>
      <c r="F734" s="16" t="inlineStr">
        <is>
          <t>ECOM_B2C</t>
        </is>
      </c>
      <c r="G734" s="16" t="inlineStr">
        <is>
          <t>Gurugram</t>
        </is>
      </c>
      <c r="H734" s="16" t="n">
        <v>0.21</v>
      </c>
      <c r="I734" s="16" t="n">
        <v>540</v>
      </c>
      <c r="J734" s="16" t="n">
        <v>720</v>
      </c>
      <c r="K734" s="18" t="n">
        <v>702.6</v>
      </c>
      <c r="L734" s="18" t="n">
        <v>0</v>
      </c>
      <c r="M734" s="16" t="inlineStr">
        <is>
          <t>Yes</t>
        </is>
      </c>
      <c r="N734" s="17" t="n">
        <v>0</v>
      </c>
      <c r="O734" s="17" t="n">
        <v>0</v>
      </c>
      <c r="P734" s="18" t="n">
        <v>0</v>
      </c>
    </row>
    <row r="735">
      <c r="B735" s="10" t="inlineStr">
        <is>
          <t>DEL</t>
        </is>
      </c>
      <c r="C735" s="10" t="inlineStr">
        <is>
          <t>VEH-DEL-017</t>
        </is>
      </c>
      <c r="D735" s="10" t="n">
        <v>12</v>
      </c>
      <c r="E735" s="10" t="inlineStr">
        <is>
          <t>ORD-DEL-002475</t>
        </is>
      </c>
      <c r="F735" s="10" t="inlineStr">
        <is>
          <t>ECOM_B2C</t>
        </is>
      </c>
      <c r="G735" s="10" t="inlineStr">
        <is>
          <t>Gurugram</t>
        </is>
      </c>
      <c r="H735" s="10" t="n">
        <v>1.65</v>
      </c>
      <c r="I735" s="10" t="n">
        <v>540</v>
      </c>
      <c r="J735" s="10" t="n">
        <v>720</v>
      </c>
      <c r="K735" s="12" t="n">
        <v>709</v>
      </c>
      <c r="L735" s="12" t="n">
        <v>0</v>
      </c>
      <c r="M735" s="10" t="inlineStr">
        <is>
          <t>Yes</t>
        </is>
      </c>
      <c r="N735" s="11" t="n">
        <v>0.888</v>
      </c>
      <c r="O735" s="11" t="n">
        <v>1.199</v>
      </c>
      <c r="P735" s="12" t="n">
        <v>2.5</v>
      </c>
    </row>
    <row r="736">
      <c r="B736" s="16" t="inlineStr">
        <is>
          <t>DEL</t>
        </is>
      </c>
      <c r="C736" s="16" t="inlineStr">
        <is>
          <t>VEH-DEL-017</t>
        </is>
      </c>
      <c r="D736" s="16" t="n">
        <v>13</v>
      </c>
      <c r="E736" s="16" t="inlineStr">
        <is>
          <t>ORD-DEL-002451</t>
        </is>
      </c>
      <c r="F736" s="16" t="inlineStr">
        <is>
          <t>ECOM_B2C</t>
        </is>
      </c>
      <c r="G736" s="16" t="inlineStr">
        <is>
          <t>Gurugram</t>
        </is>
      </c>
      <c r="H736" s="16" t="n">
        <v>1.52</v>
      </c>
      <c r="I736" s="16" t="n">
        <v>540</v>
      </c>
      <c r="J736" s="16" t="n">
        <v>720</v>
      </c>
      <c r="K736" s="18" t="n">
        <v>714.8</v>
      </c>
      <c r="L736" s="18" t="n">
        <v>0</v>
      </c>
      <c r="M736" s="16" t="inlineStr">
        <is>
          <t>Yes</t>
        </is>
      </c>
      <c r="N736" s="17" t="n">
        <v>0.663</v>
      </c>
      <c r="O736" s="17" t="n">
        <v>0.895</v>
      </c>
      <c r="P736" s="18" t="n">
        <v>1.8</v>
      </c>
    </row>
    <row r="737">
      <c r="B737" s="10" t="inlineStr">
        <is>
          <t>DEL</t>
        </is>
      </c>
      <c r="C737" s="10" t="inlineStr">
        <is>
          <t>VEH-DEL-017</t>
        </is>
      </c>
      <c r="D737" s="10" t="n">
        <v>14</v>
      </c>
      <c r="E737" s="10" t="inlineStr">
        <is>
          <t>ORD-DEL-002426</t>
        </is>
      </c>
      <c r="F737" s="10" t="inlineStr">
        <is>
          <t>ECOM_B2C</t>
        </is>
      </c>
      <c r="G737" s="10" t="inlineStr">
        <is>
          <t>Gurugram</t>
        </is>
      </c>
      <c r="H737" s="10" t="n">
        <v>2.97</v>
      </c>
      <c r="I737" s="10" t="n">
        <v>720</v>
      </c>
      <c r="J737" s="10" t="n">
        <v>900</v>
      </c>
      <c r="K737" s="12" t="n">
        <v>718.8</v>
      </c>
      <c r="L737" s="12" t="n">
        <v>0</v>
      </c>
      <c r="M737" s="10" t="inlineStr">
        <is>
          <t>Yes</t>
        </is>
      </c>
      <c r="N737" s="11" t="n">
        <v>0</v>
      </c>
      <c r="O737" s="11" t="n">
        <v>0</v>
      </c>
      <c r="P737" s="12" t="n">
        <v>0</v>
      </c>
    </row>
    <row r="738">
      <c r="B738" s="16" t="inlineStr">
        <is>
          <t>DEL</t>
        </is>
      </c>
      <c r="C738" s="16" t="inlineStr">
        <is>
          <t>VEH-DEL-017</t>
        </is>
      </c>
      <c r="D738" s="16" t="n">
        <v>15</v>
      </c>
      <c r="E738" s="16" t="inlineStr">
        <is>
          <t>ORD-DEL-002443</t>
        </is>
      </c>
      <c r="F738" s="16" t="inlineStr">
        <is>
          <t>ECOM_B2C</t>
        </is>
      </c>
      <c r="G738" s="16" t="inlineStr">
        <is>
          <t>South Delhi</t>
        </is>
      </c>
      <c r="H738" s="16" t="n">
        <v>0.28</v>
      </c>
      <c r="I738" s="16" t="n">
        <v>720</v>
      </c>
      <c r="J738" s="16" t="n">
        <v>900</v>
      </c>
      <c r="K738" s="18" t="n">
        <v>741.8</v>
      </c>
      <c r="L738" s="18" t="n">
        <v>0</v>
      </c>
      <c r="M738" s="16" t="inlineStr">
        <is>
          <t>Yes</t>
        </is>
      </c>
      <c r="N738" s="17" t="n">
        <v>6.449</v>
      </c>
      <c r="O738" s="17" t="n">
        <v>8.706</v>
      </c>
      <c r="P738" s="18" t="n">
        <v>17.8</v>
      </c>
    </row>
    <row r="739">
      <c r="B739" s="10" t="inlineStr">
        <is>
          <t>DEL</t>
        </is>
      </c>
      <c r="C739" s="10" t="inlineStr">
        <is>
          <t>VEH-DEL-019</t>
        </is>
      </c>
      <c r="D739" s="10" t="n">
        <v>1</v>
      </c>
      <c r="E739" s="10" t="inlineStr">
        <is>
          <t>ORD-DEL-002572</t>
        </is>
      </c>
      <c r="F739" s="10" t="inlineStr">
        <is>
          <t>FMCG_RETAIL</t>
        </is>
      </c>
      <c r="G739" s="10" t="inlineStr">
        <is>
          <t>Noida</t>
        </is>
      </c>
      <c r="H739" s="10" t="n">
        <v>290.02</v>
      </c>
      <c r="I739" s="10" t="n">
        <v>540</v>
      </c>
      <c r="J739" s="10" t="n">
        <v>780</v>
      </c>
      <c r="K739" s="12" t="n">
        <v>540</v>
      </c>
      <c r="L739" s="12" t="n">
        <v>0</v>
      </c>
      <c r="M739" s="10" t="inlineStr">
        <is>
          <t>Yes</t>
        </is>
      </c>
      <c r="N739" s="11" t="n">
        <v>7.61</v>
      </c>
      <c r="O739" s="11" t="n">
        <v>10.273</v>
      </c>
      <c r="P739" s="12" t="n">
        <v>38.8</v>
      </c>
    </row>
    <row r="740">
      <c r="B740" s="16" t="inlineStr">
        <is>
          <t>DEL</t>
        </is>
      </c>
      <c r="C740" s="16" t="inlineStr">
        <is>
          <t>VEH-DEL-019</t>
        </is>
      </c>
      <c r="D740" s="16" t="n">
        <v>2</v>
      </c>
      <c r="E740" s="16" t="inlineStr">
        <is>
          <t>ORD-DEL-002575</t>
        </is>
      </c>
      <c r="F740" s="16" t="inlineStr">
        <is>
          <t>FMCG_RETAIL</t>
        </is>
      </c>
      <c r="G740" s="16" t="inlineStr">
        <is>
          <t>South Delhi</t>
        </is>
      </c>
      <c r="H740" s="16" t="n">
        <v>32.67</v>
      </c>
      <c r="I740" s="16" t="n">
        <v>540</v>
      </c>
      <c r="J740" s="16" t="n">
        <v>780</v>
      </c>
      <c r="K740" s="18" t="n">
        <v>602.2</v>
      </c>
      <c r="L740" s="18" t="n">
        <v>0</v>
      </c>
      <c r="M740" s="16" t="inlineStr">
        <is>
          <t>Yes</t>
        </is>
      </c>
      <c r="N740" s="17" t="n">
        <v>8.071999999999999</v>
      </c>
      <c r="O740" s="17" t="n">
        <v>10.897</v>
      </c>
      <c r="P740" s="18" t="n">
        <v>42.1</v>
      </c>
    </row>
    <row r="741">
      <c r="B741" s="10" t="inlineStr">
        <is>
          <t>DEL</t>
        </is>
      </c>
      <c r="C741" s="10" t="inlineStr">
        <is>
          <t>VEH-DEL-019</t>
        </is>
      </c>
      <c r="D741" s="10" t="n">
        <v>3</v>
      </c>
      <c r="E741" s="10" t="inlineStr">
        <is>
          <t>ORD-DEL-002607</t>
        </is>
      </c>
      <c r="F741" s="10" t="inlineStr">
        <is>
          <t>FMCG_RETAIL</t>
        </is>
      </c>
      <c r="G741" s="10" t="inlineStr">
        <is>
          <t>South Delhi</t>
        </is>
      </c>
      <c r="H741" s="10" t="n">
        <v>60.35</v>
      </c>
      <c r="I741" s="10" t="n">
        <v>540</v>
      </c>
      <c r="J741" s="10" t="n">
        <v>780</v>
      </c>
      <c r="K741" s="12" t="n">
        <v>644.7</v>
      </c>
      <c r="L741" s="12" t="n">
        <v>0</v>
      </c>
      <c r="M741" s="10" t="inlineStr">
        <is>
          <t>Yes</t>
        </is>
      </c>
      <c r="N741" s="11" t="n">
        <v>6.007</v>
      </c>
      <c r="O741" s="11" t="n">
        <v>8.109</v>
      </c>
      <c r="P741" s="12" t="n">
        <v>31.3</v>
      </c>
    </row>
    <row r="742">
      <c r="B742" s="16" t="inlineStr">
        <is>
          <t>DEL</t>
        </is>
      </c>
      <c r="C742" s="16" t="inlineStr">
        <is>
          <t>VEH-DEL-019</t>
        </is>
      </c>
      <c r="D742" s="16" t="n">
        <v>4</v>
      </c>
      <c r="E742" s="16" t="inlineStr">
        <is>
          <t>ORD-DEL-002600</t>
        </is>
      </c>
      <c r="F742" s="16" t="inlineStr">
        <is>
          <t>FMCG_RETAIL</t>
        </is>
      </c>
      <c r="G742" s="16" t="inlineStr">
        <is>
          <t>South Delhi</t>
        </is>
      </c>
      <c r="H742" s="16" t="n">
        <v>163.09</v>
      </c>
      <c r="I742" s="16" t="n">
        <v>540</v>
      </c>
      <c r="J742" s="16" t="n">
        <v>780</v>
      </c>
      <c r="K742" s="18" t="n">
        <v>659</v>
      </c>
      <c r="L742" s="18" t="n">
        <v>0</v>
      </c>
      <c r="M742" s="16" t="inlineStr">
        <is>
          <t>Yes</t>
        </is>
      </c>
      <c r="N742" s="17" t="n">
        <v>0.429</v>
      </c>
      <c r="O742" s="17" t="n">
        <v>0.579</v>
      </c>
      <c r="P742" s="18" t="n">
        <v>2.2</v>
      </c>
    </row>
    <row r="743">
      <c r="B743" s="10" t="inlineStr">
        <is>
          <t>DEL</t>
        </is>
      </c>
      <c r="C743" s="10" t="inlineStr">
        <is>
          <t>VEH-DEL-019</t>
        </is>
      </c>
      <c r="D743" s="10" t="n">
        <v>5</v>
      </c>
      <c r="E743" s="10" t="inlineStr">
        <is>
          <t>ORD-DEL-002580</t>
        </is>
      </c>
      <c r="F743" s="10" t="inlineStr">
        <is>
          <t>FMCG_RETAIL</t>
        </is>
      </c>
      <c r="G743" s="10" t="inlineStr">
        <is>
          <t>Gurugram</t>
        </is>
      </c>
      <c r="H743" s="10" t="n">
        <v>385.67</v>
      </c>
      <c r="I743" s="10" t="n">
        <v>540</v>
      </c>
      <c r="J743" s="10" t="n">
        <v>780</v>
      </c>
      <c r="K743" s="12" t="n">
        <v>712.8</v>
      </c>
      <c r="L743" s="12" t="n">
        <v>0</v>
      </c>
      <c r="M743" s="10" t="inlineStr">
        <is>
          <t>Yes</t>
        </is>
      </c>
      <c r="N743" s="11" t="n">
        <v>11.968</v>
      </c>
      <c r="O743" s="11" t="n">
        <v>16.157</v>
      </c>
      <c r="P743" s="12" t="n">
        <v>38.1</v>
      </c>
    </row>
    <row r="744">
      <c r="B744" s="16" t="inlineStr">
        <is>
          <t>DEL</t>
        </is>
      </c>
      <c r="C744" s="16" t="inlineStr">
        <is>
          <t>VEH-DEL-019</t>
        </is>
      </c>
      <c r="D744" s="16" t="n">
        <v>6</v>
      </c>
      <c r="E744" s="16" t="inlineStr">
        <is>
          <t>ORD-DEL-002591</t>
        </is>
      </c>
      <c r="F744" s="16" t="inlineStr">
        <is>
          <t>FMCG_RETAIL</t>
        </is>
      </c>
      <c r="G744" s="16" t="inlineStr">
        <is>
          <t>Gurugram</t>
        </is>
      </c>
      <c r="H744" s="16" t="n">
        <v>123.46</v>
      </c>
      <c r="I744" s="16" t="n">
        <v>540</v>
      </c>
      <c r="J744" s="16" t="n">
        <v>780</v>
      </c>
      <c r="K744" s="18" t="n">
        <v>737.9</v>
      </c>
      <c r="L744" s="18" t="n">
        <v>0</v>
      </c>
      <c r="M744" s="16" t="inlineStr">
        <is>
          <t>Yes</t>
        </is>
      </c>
      <c r="N744" s="17" t="n">
        <v>0.501</v>
      </c>
      <c r="O744" s="17" t="n">
        <v>0.676</v>
      </c>
      <c r="P744" s="18" t="n">
        <v>1.6</v>
      </c>
    </row>
    <row r="745">
      <c r="B745" s="10" t="inlineStr">
        <is>
          <t>DEL</t>
        </is>
      </c>
      <c r="C745" s="10" t="inlineStr">
        <is>
          <t>VEH-DEL-019</t>
        </is>
      </c>
      <c r="D745" s="10" t="n">
        <v>7</v>
      </c>
      <c r="E745" s="10" t="inlineStr">
        <is>
          <t>ORD-DEL-002602</t>
        </is>
      </c>
      <c r="F745" s="10" t="inlineStr">
        <is>
          <t>FMCG_RETAIL</t>
        </is>
      </c>
      <c r="G745" s="10" t="inlineStr">
        <is>
          <t>Gurugram</t>
        </is>
      </c>
      <c r="H745" s="10" t="n">
        <v>96.56999999999999</v>
      </c>
      <c r="I745" s="10" t="n">
        <v>540</v>
      </c>
      <c r="J745" s="10" t="n">
        <v>780</v>
      </c>
      <c r="K745" s="12" t="n">
        <v>766.3</v>
      </c>
      <c r="L745" s="12" t="n">
        <v>0</v>
      </c>
      <c r="M745" s="10" t="inlineStr">
        <is>
          <t>Yes</t>
        </is>
      </c>
      <c r="N745" s="11" t="n">
        <v>4.426</v>
      </c>
      <c r="O745" s="11" t="n">
        <v>5.976</v>
      </c>
      <c r="P745" s="12" t="n">
        <v>14.1</v>
      </c>
    </row>
    <row r="746">
      <c r="B746" s="16" t="inlineStr">
        <is>
          <t>DEL</t>
        </is>
      </c>
      <c r="C746" s="16" t="inlineStr">
        <is>
          <t>VEH-DEL-019</t>
        </is>
      </c>
      <c r="D746" s="16" t="n">
        <v>8</v>
      </c>
      <c r="E746" s="16" t="inlineStr">
        <is>
          <t>ORD-DEL-002569</t>
        </is>
      </c>
      <c r="F746" s="16" t="inlineStr">
        <is>
          <t>FMCG_RETAIL</t>
        </is>
      </c>
      <c r="G746" s="16" t="inlineStr">
        <is>
          <t>Gurugram</t>
        </is>
      </c>
      <c r="H746" s="16" t="n">
        <v>176.46</v>
      </c>
      <c r="I746" s="16" t="n">
        <v>600</v>
      </c>
      <c r="J746" s="16" t="n">
        <v>960</v>
      </c>
      <c r="K746" s="18" t="n">
        <v>784.3</v>
      </c>
      <c r="L746" s="18" t="n">
        <v>0</v>
      </c>
      <c r="M746" s="16" t="inlineStr">
        <is>
          <t>Yes</t>
        </is>
      </c>
      <c r="N746" s="17" t="n">
        <v>1.431</v>
      </c>
      <c r="O746" s="17" t="n">
        <v>1.932</v>
      </c>
      <c r="P746" s="18" t="n">
        <v>4.6</v>
      </c>
    </row>
    <row r="747">
      <c r="B747" s="10" t="inlineStr">
        <is>
          <t>DEL</t>
        </is>
      </c>
      <c r="C747" s="10" t="inlineStr">
        <is>
          <t>VEH-DEL-019</t>
        </is>
      </c>
      <c r="D747" s="10" t="n">
        <v>9</v>
      </c>
      <c r="E747" s="10" t="inlineStr">
        <is>
          <t>ORD-DEL-002598</t>
        </is>
      </c>
      <c r="F747" s="10" t="inlineStr">
        <is>
          <t>FMCG_RETAIL</t>
        </is>
      </c>
      <c r="G747" s="10" t="inlineStr">
        <is>
          <t>Gurugram</t>
        </is>
      </c>
      <c r="H747" s="10" t="n">
        <v>73.5</v>
      </c>
      <c r="I747" s="10" t="n">
        <v>840</v>
      </c>
      <c r="J747" s="10" t="n">
        <v>1080</v>
      </c>
      <c r="K747" s="12" t="n">
        <v>817.5</v>
      </c>
      <c r="L747" s="12" t="n">
        <v>0</v>
      </c>
      <c r="M747" s="10" t="inlineStr">
        <is>
          <t>Yes</t>
        </is>
      </c>
      <c r="N747" s="11" t="n">
        <v>5.342</v>
      </c>
      <c r="O747" s="11" t="n">
        <v>7.212</v>
      </c>
      <c r="P747" s="12" t="n">
        <v>17</v>
      </c>
    </row>
    <row r="748">
      <c r="B748" s="16" t="inlineStr">
        <is>
          <t>DEL</t>
        </is>
      </c>
      <c r="C748" s="16" t="inlineStr">
        <is>
          <t>VEH-DEL-019</t>
        </is>
      </c>
      <c r="D748" s="16" t="n">
        <v>10</v>
      </c>
      <c r="E748" s="16" t="inlineStr">
        <is>
          <t>ORD-DEL-002571</t>
        </is>
      </c>
      <c r="F748" s="16" t="inlineStr">
        <is>
          <t>FMCG_RETAIL</t>
        </is>
      </c>
      <c r="G748" s="16" t="inlineStr">
        <is>
          <t>South Delhi</t>
        </is>
      </c>
      <c r="H748" s="16" t="n">
        <v>390.05</v>
      </c>
      <c r="I748" s="16" t="n">
        <v>600</v>
      </c>
      <c r="J748" s="16" t="n">
        <v>960</v>
      </c>
      <c r="K748" s="18" t="n">
        <v>919.3</v>
      </c>
      <c r="L748" s="18" t="n">
        <v>0</v>
      </c>
      <c r="M748" s="16" t="inlineStr">
        <is>
          <t>Yes</t>
        </is>
      </c>
      <c r="N748" s="17" t="n">
        <v>20.962</v>
      </c>
      <c r="O748" s="17" t="n">
        <v>28.299</v>
      </c>
      <c r="P748" s="18" t="n">
        <v>66.8</v>
      </c>
    </row>
    <row r="749">
      <c r="B749" s="10" t="inlineStr">
        <is>
          <t>DEL</t>
        </is>
      </c>
      <c r="C749" s="10" t="inlineStr">
        <is>
          <t>VEH-DEL-019</t>
        </is>
      </c>
      <c r="D749" s="10" t="n">
        <v>11</v>
      </c>
      <c r="E749" s="10" t="inlineStr">
        <is>
          <t>ORD-DEL-002587</t>
        </is>
      </c>
      <c r="F749" s="10" t="inlineStr">
        <is>
          <t>FMCG_RETAIL</t>
        </is>
      </c>
      <c r="G749" s="10" t="inlineStr">
        <is>
          <t>South Delhi</t>
        </is>
      </c>
      <c r="H749" s="10" t="n">
        <v>120.51</v>
      </c>
      <c r="I749" s="10" t="n">
        <v>600</v>
      </c>
      <c r="J749" s="10" t="n">
        <v>960</v>
      </c>
      <c r="K749" s="12" t="n">
        <v>956.5</v>
      </c>
      <c r="L749" s="12" t="n">
        <v>0</v>
      </c>
      <c r="M749" s="10" t="inlineStr">
        <is>
          <t>Yes</t>
        </is>
      </c>
      <c r="N749" s="11" t="n">
        <v>4.252</v>
      </c>
      <c r="O749" s="11" t="n">
        <v>5.74</v>
      </c>
      <c r="P749" s="12" t="n">
        <v>13.5</v>
      </c>
    </row>
    <row r="750">
      <c r="B750" s="16" t="inlineStr">
        <is>
          <t>DEL</t>
        </is>
      </c>
      <c r="C750" s="16" t="inlineStr">
        <is>
          <t>VEH-DEL-019</t>
        </is>
      </c>
      <c r="D750" s="16" t="n">
        <v>12</v>
      </c>
      <c r="E750" s="16" t="inlineStr">
        <is>
          <t>ORD-DEL-002521</t>
        </is>
      </c>
      <c r="F750" s="16" t="inlineStr">
        <is>
          <t>ECOM_B2C</t>
        </is>
      </c>
      <c r="G750" s="16" t="inlineStr">
        <is>
          <t>Noida</t>
        </is>
      </c>
      <c r="H750" s="16" t="n">
        <v>1.21</v>
      </c>
      <c r="I750" s="16" t="n">
        <v>900</v>
      </c>
      <c r="J750" s="16" t="n">
        <v>1080</v>
      </c>
      <c r="K750" s="18" t="n">
        <v>1014.8</v>
      </c>
      <c r="L750" s="18" t="n">
        <v>0</v>
      </c>
      <c r="M750" s="16" t="inlineStr">
        <is>
          <t>Yes</t>
        </is>
      </c>
      <c r="N750" s="17" t="n">
        <v>14.132</v>
      </c>
      <c r="O750" s="17" t="n">
        <v>19.078</v>
      </c>
      <c r="P750" s="18" t="n">
        <v>44.1</v>
      </c>
    </row>
    <row r="751">
      <c r="B751" s="10" t="inlineStr">
        <is>
          <t>DEL</t>
        </is>
      </c>
      <c r="C751" s="10" t="inlineStr">
        <is>
          <t>VEH-DEL-020</t>
        </is>
      </c>
      <c r="D751" s="10" t="n">
        <v>1</v>
      </c>
      <c r="E751" s="10" t="inlineStr">
        <is>
          <t>ORD-DEL-002567</t>
        </is>
      </c>
      <c r="F751" s="10" t="inlineStr">
        <is>
          <t>FMCG_RETAIL</t>
        </is>
      </c>
      <c r="G751" s="10" t="inlineStr">
        <is>
          <t>West Delhi</t>
        </is>
      </c>
      <c r="H751" s="10" t="n">
        <v>99.14</v>
      </c>
      <c r="I751" s="10" t="n">
        <v>540</v>
      </c>
      <c r="J751" s="10" t="n">
        <v>780</v>
      </c>
      <c r="K751" s="12" t="n">
        <v>493.8</v>
      </c>
      <c r="L751" s="12" t="n">
        <v>0</v>
      </c>
      <c r="M751" s="10" t="inlineStr">
        <is>
          <t>Yes</t>
        </is>
      </c>
      <c r="N751" s="11" t="n">
        <v>25.108</v>
      </c>
      <c r="O751" s="11" t="n">
        <v>33.896</v>
      </c>
      <c r="P751" s="12" t="n">
        <v>73.8</v>
      </c>
    </row>
    <row r="752">
      <c r="B752" s="16" t="inlineStr">
        <is>
          <t>DEL</t>
        </is>
      </c>
      <c r="C752" s="16" t="inlineStr">
        <is>
          <t>VEH-DEL-020</t>
        </is>
      </c>
      <c r="D752" s="16" t="n">
        <v>2</v>
      </c>
      <c r="E752" s="16" t="inlineStr">
        <is>
          <t>ORD-DEL-002592</t>
        </is>
      </c>
      <c r="F752" s="16" t="inlineStr">
        <is>
          <t>FMCG_RETAIL</t>
        </is>
      </c>
      <c r="G752" s="16" t="inlineStr">
        <is>
          <t>West Delhi</t>
        </is>
      </c>
      <c r="H752" s="16" t="n">
        <v>232.48</v>
      </c>
      <c r="I752" s="16" t="n">
        <v>540</v>
      </c>
      <c r="J752" s="16" t="n">
        <v>780</v>
      </c>
      <c r="K752" s="18" t="n">
        <v>575.8</v>
      </c>
      <c r="L752" s="18" t="n">
        <v>0</v>
      </c>
      <c r="M752" s="16" t="inlineStr">
        <is>
          <t>Yes</t>
        </is>
      </c>
      <c r="N752" s="17" t="n">
        <v>4.229</v>
      </c>
      <c r="O752" s="17" t="n">
        <v>5.709</v>
      </c>
      <c r="P752" s="18" t="n">
        <v>22.4</v>
      </c>
    </row>
    <row r="753">
      <c r="B753" s="10" t="inlineStr">
        <is>
          <t>DEL</t>
        </is>
      </c>
      <c r="C753" s="10" t="inlineStr">
        <is>
          <t>VEH-DEL-020</t>
        </is>
      </c>
      <c r="D753" s="10" t="n">
        <v>3</v>
      </c>
      <c r="E753" s="10" t="inlineStr">
        <is>
          <t>ORD-DEL-002611</t>
        </is>
      </c>
      <c r="F753" s="10" t="inlineStr">
        <is>
          <t>FMCG_RETAIL</t>
        </is>
      </c>
      <c r="G753" s="10" t="inlineStr">
        <is>
          <t>West Delhi</t>
        </is>
      </c>
      <c r="H753" s="10" t="n">
        <v>50.13</v>
      </c>
      <c r="I753" s="10" t="n">
        <v>600</v>
      </c>
      <c r="J753" s="10" t="n">
        <v>960</v>
      </c>
      <c r="K753" s="12" t="n">
        <v>618.1</v>
      </c>
      <c r="L753" s="12" t="n">
        <v>0</v>
      </c>
      <c r="M753" s="10" t="inlineStr">
        <is>
          <t>Yes</t>
        </is>
      </c>
      <c r="N753" s="11" t="n">
        <v>4.56</v>
      </c>
      <c r="O753" s="11" t="n">
        <v>6.156</v>
      </c>
      <c r="P753" s="12" t="n">
        <v>24.1</v>
      </c>
    </row>
    <row r="754">
      <c r="B754" s="16" t="inlineStr">
        <is>
          <t>DEL</t>
        </is>
      </c>
      <c r="C754" s="16" t="inlineStr">
        <is>
          <t>VEH-DEL-020</t>
        </is>
      </c>
      <c r="D754" s="16" t="n">
        <v>4</v>
      </c>
      <c r="E754" s="16" t="inlineStr">
        <is>
          <t>ORD-DEL-002589</t>
        </is>
      </c>
      <c r="F754" s="16" t="inlineStr">
        <is>
          <t>FMCG_RETAIL</t>
        </is>
      </c>
      <c r="G754" s="16" t="inlineStr">
        <is>
          <t>West Delhi</t>
        </is>
      </c>
      <c r="H754" s="16" t="n">
        <v>103.97</v>
      </c>
      <c r="I754" s="16" t="n">
        <v>600</v>
      </c>
      <c r="J754" s="16" t="n">
        <v>960</v>
      </c>
      <c r="K754" s="18" t="n">
        <v>633</v>
      </c>
      <c r="L754" s="18" t="n">
        <v>0</v>
      </c>
      <c r="M754" s="16" t="inlineStr">
        <is>
          <t>Yes</t>
        </is>
      </c>
      <c r="N754" s="17" t="n">
        <v>0.602</v>
      </c>
      <c r="O754" s="17" t="n">
        <v>0.8129999999999999</v>
      </c>
      <c r="P754" s="18" t="n">
        <v>3.2</v>
      </c>
    </row>
    <row r="755">
      <c r="B755" s="10" t="inlineStr">
        <is>
          <t>DEL</t>
        </is>
      </c>
      <c r="C755" s="10" t="inlineStr">
        <is>
          <t>VEH-DEL-020</t>
        </is>
      </c>
      <c r="D755" s="10" t="n">
        <v>5</v>
      </c>
      <c r="E755" s="10" t="inlineStr">
        <is>
          <t>ORD-DEL-002595</t>
        </is>
      </c>
      <c r="F755" s="10" t="inlineStr">
        <is>
          <t>FMCG_RETAIL</t>
        </is>
      </c>
      <c r="G755" s="10" t="inlineStr">
        <is>
          <t>West Delhi</t>
        </is>
      </c>
      <c r="H755" s="10" t="n">
        <v>149.13</v>
      </c>
      <c r="I755" s="10" t="n">
        <v>540</v>
      </c>
      <c r="J755" s="10" t="n">
        <v>780</v>
      </c>
      <c r="K755" s="12" t="n">
        <v>646.7</v>
      </c>
      <c r="L755" s="12" t="n">
        <v>0</v>
      </c>
      <c r="M755" s="10" t="inlineStr">
        <is>
          <t>Yes</t>
        </is>
      </c>
      <c r="N755" s="11" t="n">
        <v>0</v>
      </c>
      <c r="O755" s="11" t="n">
        <v>0</v>
      </c>
      <c r="P755" s="12" t="n">
        <v>0</v>
      </c>
    </row>
    <row r="756">
      <c r="B756" s="16" t="inlineStr">
        <is>
          <t>DEL</t>
        </is>
      </c>
      <c r="C756" s="16" t="inlineStr">
        <is>
          <t>VEH-DEL-020</t>
        </is>
      </c>
      <c r="D756" s="16" t="n">
        <v>6</v>
      </c>
      <c r="E756" s="16" t="inlineStr">
        <is>
          <t>ORD-DEL-002578</t>
        </is>
      </c>
      <c r="F756" s="16" t="inlineStr">
        <is>
          <t>FMCG_RETAIL</t>
        </is>
      </c>
      <c r="G756" s="16" t="inlineStr">
        <is>
          <t>West Delhi</t>
        </is>
      </c>
      <c r="H756" s="16" t="n">
        <v>69.93000000000001</v>
      </c>
      <c r="I756" s="16" t="n">
        <v>600</v>
      </c>
      <c r="J756" s="16" t="n">
        <v>960</v>
      </c>
      <c r="K756" s="18" t="n">
        <v>661.9</v>
      </c>
      <c r="L756" s="18" t="n">
        <v>0</v>
      </c>
      <c r="M756" s="16" t="inlineStr">
        <is>
          <t>Yes</t>
        </is>
      </c>
      <c r="N756" s="17" t="n">
        <v>0</v>
      </c>
      <c r="O756" s="17" t="n">
        <v>0</v>
      </c>
      <c r="P756" s="18" t="n">
        <v>0</v>
      </c>
    </row>
    <row r="757">
      <c r="B757" s="10" t="inlineStr">
        <is>
          <t>DEL</t>
        </is>
      </c>
      <c r="C757" s="10" t="inlineStr">
        <is>
          <t>VEH-DEL-020</t>
        </is>
      </c>
      <c r="D757" s="10" t="n">
        <v>7</v>
      </c>
      <c r="E757" s="10" t="inlineStr">
        <is>
          <t>ORD-DEL-002601</t>
        </is>
      </c>
      <c r="F757" s="10" t="inlineStr">
        <is>
          <t>FMCG_RETAIL</t>
        </is>
      </c>
      <c r="G757" s="10" t="inlineStr">
        <is>
          <t>West Delhi</t>
        </is>
      </c>
      <c r="H757" s="10" t="n">
        <v>129.06</v>
      </c>
      <c r="I757" s="10" t="n">
        <v>600</v>
      </c>
      <c r="J757" s="10" t="n">
        <v>960</v>
      </c>
      <c r="K757" s="12" t="n">
        <v>678.7</v>
      </c>
      <c r="L757" s="12" t="n">
        <v>0</v>
      </c>
      <c r="M757" s="10" t="inlineStr">
        <is>
          <t>Yes</t>
        </is>
      </c>
      <c r="N757" s="11" t="n">
        <v>1.361</v>
      </c>
      <c r="O757" s="11" t="n">
        <v>1.837</v>
      </c>
      <c r="P757" s="12" t="n">
        <v>4.4</v>
      </c>
    </row>
    <row r="758">
      <c r="B758" s="16" t="inlineStr">
        <is>
          <t>DEL</t>
        </is>
      </c>
      <c r="C758" s="16" t="inlineStr">
        <is>
          <t>VEH-DEL-020</t>
        </is>
      </c>
      <c r="D758" s="16" t="n">
        <v>8</v>
      </c>
      <c r="E758" s="16" t="inlineStr">
        <is>
          <t>ORD-DEL-002584</t>
        </is>
      </c>
      <c r="F758" s="16" t="inlineStr">
        <is>
          <t>FMCG_RETAIL</t>
        </is>
      </c>
      <c r="G758" s="16" t="inlineStr">
        <is>
          <t>West Delhi</t>
        </is>
      </c>
      <c r="H758" s="16" t="n">
        <v>105.97</v>
      </c>
      <c r="I758" s="16" t="n">
        <v>540</v>
      </c>
      <c r="J758" s="16" t="n">
        <v>780</v>
      </c>
      <c r="K758" s="18" t="n">
        <v>694.9</v>
      </c>
      <c r="L758" s="18" t="n">
        <v>0</v>
      </c>
      <c r="M758" s="16" t="inlineStr">
        <is>
          <t>Yes</t>
        </is>
      </c>
      <c r="N758" s="17" t="n">
        <v>0.516</v>
      </c>
      <c r="O758" s="17" t="n">
        <v>0.696</v>
      </c>
      <c r="P758" s="18" t="n">
        <v>1.7</v>
      </c>
    </row>
    <row r="759">
      <c r="B759" s="10" t="inlineStr">
        <is>
          <t>DEL</t>
        </is>
      </c>
      <c r="C759" s="10" t="inlineStr">
        <is>
          <t>VEH-DEL-020</t>
        </is>
      </c>
      <c r="D759" s="10" t="n">
        <v>9</v>
      </c>
      <c r="E759" s="10" t="inlineStr">
        <is>
          <t>ORD-DEL-002585</t>
        </is>
      </c>
      <c r="F759" s="10" t="inlineStr">
        <is>
          <t>FMCG_RETAIL</t>
        </is>
      </c>
      <c r="G759" s="10" t="inlineStr">
        <is>
          <t>West Delhi</t>
        </is>
      </c>
      <c r="H759" s="10" t="n">
        <v>248.85</v>
      </c>
      <c r="I759" s="10" t="n">
        <v>600</v>
      </c>
      <c r="J759" s="10" t="n">
        <v>960</v>
      </c>
      <c r="K759" s="12" t="n">
        <v>708.6</v>
      </c>
      <c r="L759" s="12" t="n">
        <v>0</v>
      </c>
      <c r="M759" s="10" t="inlineStr">
        <is>
          <t>Yes</t>
        </is>
      </c>
      <c r="N759" s="11" t="n">
        <v>0</v>
      </c>
      <c r="O759" s="11" t="n">
        <v>0</v>
      </c>
      <c r="P759" s="12" t="n">
        <v>0</v>
      </c>
    </row>
    <row r="760">
      <c r="B760" s="16" t="inlineStr">
        <is>
          <t>DEL</t>
        </is>
      </c>
      <c r="C760" s="16" t="inlineStr">
        <is>
          <t>VEH-DEL-020</t>
        </is>
      </c>
      <c r="D760" s="16" t="n">
        <v>10</v>
      </c>
      <c r="E760" s="16" t="inlineStr">
        <is>
          <t>ORD-DEL-002603</t>
        </is>
      </c>
      <c r="F760" s="16" t="inlineStr">
        <is>
          <t>FMCG_RETAIL</t>
        </is>
      </c>
      <c r="G760" s="16" t="inlineStr">
        <is>
          <t>South Delhi</t>
        </is>
      </c>
      <c r="H760" s="16" t="n">
        <v>176.59</v>
      </c>
      <c r="I760" s="16" t="n">
        <v>540</v>
      </c>
      <c r="J760" s="16" t="n">
        <v>780</v>
      </c>
      <c r="K760" s="18" t="n">
        <v>772.6</v>
      </c>
      <c r="L760" s="18" t="n">
        <v>0</v>
      </c>
      <c r="M760" s="16" t="inlineStr">
        <is>
          <t>Yes</t>
        </is>
      </c>
      <c r="N760" s="17" t="n">
        <v>14.205</v>
      </c>
      <c r="O760" s="17" t="n">
        <v>19.177</v>
      </c>
      <c r="P760" s="18" t="n">
        <v>45.2</v>
      </c>
    </row>
    <row r="761">
      <c r="B761" s="10" t="inlineStr">
        <is>
          <t>DEL</t>
        </is>
      </c>
      <c r="C761" s="10" t="inlineStr">
        <is>
          <t>VEH-DEL-020</t>
        </is>
      </c>
      <c r="D761" s="10" t="n">
        <v>11</v>
      </c>
      <c r="E761" s="10" t="inlineStr">
        <is>
          <t>ORD-DEL-002608</t>
        </is>
      </c>
      <c r="F761" s="10" t="inlineStr">
        <is>
          <t>FMCG_RETAIL</t>
        </is>
      </c>
      <c r="G761" s="10" t="inlineStr">
        <is>
          <t>Noida</t>
        </is>
      </c>
      <c r="H761" s="10" t="n">
        <v>156.01</v>
      </c>
      <c r="I761" s="10" t="n">
        <v>600</v>
      </c>
      <c r="J761" s="10" t="n">
        <v>960</v>
      </c>
      <c r="K761" s="12" t="n">
        <v>829</v>
      </c>
      <c r="L761" s="12" t="n">
        <v>0</v>
      </c>
      <c r="M761" s="10" t="inlineStr">
        <is>
          <t>Yes</t>
        </is>
      </c>
      <c r="N761" s="11" t="n">
        <v>12.894</v>
      </c>
      <c r="O761" s="11" t="n">
        <v>17.407</v>
      </c>
      <c r="P761" s="12" t="n">
        <v>40.2</v>
      </c>
    </row>
    <row r="762">
      <c r="B762" s="16" t="inlineStr">
        <is>
          <t>DEL</t>
        </is>
      </c>
      <c r="C762" s="16" t="inlineStr">
        <is>
          <t>VEH-DEL-020</t>
        </is>
      </c>
      <c r="D762" s="16" t="n">
        <v>12</v>
      </c>
      <c r="E762" s="16" t="inlineStr">
        <is>
          <t>ORD-DEL-002588</t>
        </is>
      </c>
      <c r="F762" s="16" t="inlineStr">
        <is>
          <t>FMCG_RETAIL</t>
        </is>
      </c>
      <c r="G762" s="16" t="inlineStr">
        <is>
          <t>Noida</t>
        </is>
      </c>
      <c r="H762" s="16" t="n">
        <v>60.38</v>
      </c>
      <c r="I762" s="16" t="n">
        <v>600</v>
      </c>
      <c r="J762" s="16" t="n">
        <v>960</v>
      </c>
      <c r="K762" s="18" t="n">
        <v>847.7</v>
      </c>
      <c r="L762" s="18" t="n">
        <v>0</v>
      </c>
      <c r="M762" s="16" t="inlineStr">
        <is>
          <t>Yes</t>
        </is>
      </c>
      <c r="N762" s="17" t="n">
        <v>1.064</v>
      </c>
      <c r="O762" s="17" t="n">
        <v>1.437</v>
      </c>
      <c r="P762" s="18" t="n">
        <v>3.3</v>
      </c>
    </row>
    <row r="763">
      <c r="B763" s="10" t="inlineStr">
        <is>
          <t>DEL</t>
        </is>
      </c>
      <c r="C763" s="10" t="inlineStr">
        <is>
          <t>VEH-DEL-020</t>
        </is>
      </c>
      <c r="D763" s="10" t="n">
        <v>13</v>
      </c>
      <c r="E763" s="10" t="inlineStr">
        <is>
          <t>ORD-DEL-002604</t>
        </is>
      </c>
      <c r="F763" s="10" t="inlineStr">
        <is>
          <t>FMCG_RETAIL</t>
        </is>
      </c>
      <c r="G763" s="10" t="inlineStr">
        <is>
          <t>Noida</t>
        </is>
      </c>
      <c r="H763" s="10" t="n">
        <v>149.36</v>
      </c>
      <c r="I763" s="10" t="n">
        <v>600</v>
      </c>
      <c r="J763" s="10" t="n">
        <v>960</v>
      </c>
      <c r="K763" s="12" t="n">
        <v>859.8</v>
      </c>
      <c r="L763" s="12" t="n">
        <v>0</v>
      </c>
      <c r="M763" s="10" t="inlineStr">
        <is>
          <t>Yes</t>
        </is>
      </c>
      <c r="N763" s="11" t="n">
        <v>0</v>
      </c>
      <c r="O763" s="11" t="n">
        <v>0</v>
      </c>
      <c r="P763" s="12" t="n">
        <v>0</v>
      </c>
    </row>
    <row r="764">
      <c r="B764" s="16" t="inlineStr">
        <is>
          <t>DEL</t>
        </is>
      </c>
      <c r="C764" s="16" t="inlineStr">
        <is>
          <t>VEH-DEL-020</t>
        </is>
      </c>
      <c r="D764" s="16" t="n">
        <v>14</v>
      </c>
      <c r="E764" s="16" t="inlineStr">
        <is>
          <t>ORD-DEL-002582</t>
        </is>
      </c>
      <c r="F764" s="16" t="inlineStr">
        <is>
          <t>FMCG_RETAIL</t>
        </is>
      </c>
      <c r="G764" s="16" t="inlineStr">
        <is>
          <t>Noida</t>
        </is>
      </c>
      <c r="H764" s="16" t="n">
        <v>122.03</v>
      </c>
      <c r="I764" s="16" t="n">
        <v>840</v>
      </c>
      <c r="J764" s="16" t="n">
        <v>1080</v>
      </c>
      <c r="K764" s="18" t="n">
        <v>875.1</v>
      </c>
      <c r="L764" s="18" t="n">
        <v>0</v>
      </c>
      <c r="M764" s="16" t="inlineStr">
        <is>
          <t>Yes</t>
        </is>
      </c>
      <c r="N764" s="17" t="n">
        <v>0</v>
      </c>
      <c r="O764" s="17" t="n">
        <v>0</v>
      </c>
      <c r="P764" s="18" t="n">
        <v>0</v>
      </c>
    </row>
    <row r="765">
      <c r="B765" s="10" t="inlineStr">
        <is>
          <t>DEL</t>
        </is>
      </c>
      <c r="C765" s="10" t="inlineStr">
        <is>
          <t>VEH-DEL-020</t>
        </is>
      </c>
      <c r="D765" s="10" t="n">
        <v>15</v>
      </c>
      <c r="E765" s="10" t="inlineStr">
        <is>
          <t>ORD-DEL-002395</t>
        </is>
      </c>
      <c r="F765" s="10" t="inlineStr">
        <is>
          <t>ECOM_B2C</t>
        </is>
      </c>
      <c r="G765" s="10" t="inlineStr">
        <is>
          <t>Noida</t>
        </is>
      </c>
      <c r="H765" s="10" t="n">
        <v>0.47</v>
      </c>
      <c r="I765" s="10" t="n">
        <v>900</v>
      </c>
      <c r="J765" s="10" t="n">
        <v>1080</v>
      </c>
      <c r="K765" s="12" t="n">
        <v>897.3</v>
      </c>
      <c r="L765" s="12" t="n">
        <v>0</v>
      </c>
      <c r="M765" s="10" t="inlineStr">
        <is>
          <t>Yes</t>
        </is>
      </c>
      <c r="N765" s="11" t="n">
        <v>2.543</v>
      </c>
      <c r="O765" s="11" t="n">
        <v>3.433</v>
      </c>
      <c r="P765" s="12" t="n">
        <v>7.9</v>
      </c>
    </row>
    <row r="766">
      <c r="B766" s="16" t="inlineStr">
        <is>
          <t>DEL</t>
        </is>
      </c>
      <c r="C766" s="16" t="inlineStr">
        <is>
          <t>VEH-DEL-020</t>
        </is>
      </c>
      <c r="D766" s="16" t="n">
        <v>16</v>
      </c>
      <c r="E766" s="16" t="inlineStr">
        <is>
          <t>ORD-DEL-002594</t>
        </is>
      </c>
      <c r="F766" s="16" t="inlineStr">
        <is>
          <t>FMCG_RETAIL</t>
        </is>
      </c>
      <c r="G766" s="16" t="inlineStr">
        <is>
          <t>Noida</t>
        </is>
      </c>
      <c r="H766" s="16" t="n">
        <v>69.18000000000001</v>
      </c>
      <c r="I766" s="16" t="n">
        <v>840</v>
      </c>
      <c r="J766" s="16" t="n">
        <v>1080</v>
      </c>
      <c r="K766" s="18" t="n">
        <v>907.3</v>
      </c>
      <c r="L766" s="18" t="n">
        <v>0</v>
      </c>
      <c r="M766" s="16" t="inlineStr">
        <is>
          <t>Yes</t>
        </is>
      </c>
      <c r="N766" s="17" t="n">
        <v>1.059</v>
      </c>
      <c r="O766" s="17" t="n">
        <v>1.43</v>
      </c>
      <c r="P766" s="18" t="n">
        <v>3.3</v>
      </c>
    </row>
    <row r="767">
      <c r="B767" s="10" t="inlineStr">
        <is>
          <t>DEL</t>
        </is>
      </c>
      <c r="C767" s="10" t="inlineStr">
        <is>
          <t>VEH-DEL-020</t>
        </is>
      </c>
      <c r="D767" s="10" t="n">
        <v>17</v>
      </c>
      <c r="E767" s="10" t="inlineStr">
        <is>
          <t>ORD-DEL-002434</t>
        </is>
      </c>
      <c r="F767" s="10" t="inlineStr">
        <is>
          <t>ECOM_B2C</t>
        </is>
      </c>
      <c r="G767" s="10" t="inlineStr">
        <is>
          <t>Noida</t>
        </is>
      </c>
      <c r="H767" s="10" t="n">
        <v>1.24</v>
      </c>
      <c r="I767" s="10" t="n">
        <v>840</v>
      </c>
      <c r="J767" s="10" t="n">
        <v>960</v>
      </c>
      <c r="K767" s="12" t="n">
        <v>920.5</v>
      </c>
      <c r="L767" s="12" t="n">
        <v>0</v>
      </c>
      <c r="M767" s="10" t="inlineStr">
        <is>
          <t>Yes</t>
        </is>
      </c>
      <c r="N767" s="11" t="n">
        <v>0.256</v>
      </c>
      <c r="O767" s="11" t="n">
        <v>0.345</v>
      </c>
      <c r="P767" s="12" t="n">
        <v>0.8</v>
      </c>
    </row>
    <row r="768">
      <c r="B768" s="16" t="inlineStr">
        <is>
          <t>DEL</t>
        </is>
      </c>
      <c r="C768" s="16" t="inlineStr">
        <is>
          <t>VEH-DEL-020</t>
        </is>
      </c>
      <c r="D768" s="16" t="n">
        <v>18</v>
      </c>
      <c r="E768" s="16" t="inlineStr">
        <is>
          <t>ORD-DEL-002479</t>
        </is>
      </c>
      <c r="F768" s="16" t="inlineStr">
        <is>
          <t>ECOM_B2C</t>
        </is>
      </c>
      <c r="G768" s="16" t="inlineStr">
        <is>
          <t>Noida</t>
        </is>
      </c>
      <c r="H768" s="16" t="n">
        <v>2.09</v>
      </c>
      <c r="I768" s="16" t="n">
        <v>840</v>
      </c>
      <c r="J768" s="16" t="n">
        <v>960</v>
      </c>
      <c r="K768" s="18" t="n">
        <v>950.2</v>
      </c>
      <c r="L768" s="18" t="n">
        <v>0</v>
      </c>
      <c r="M768" s="16" t="inlineStr">
        <is>
          <t>Yes</t>
        </is>
      </c>
      <c r="N768" s="17" t="n">
        <v>8.250999999999999</v>
      </c>
      <c r="O768" s="17" t="n">
        <v>11.139</v>
      </c>
      <c r="P768" s="18" t="n">
        <v>25.7</v>
      </c>
    </row>
    <row r="769">
      <c r="B769" s="10" t="inlineStr">
        <is>
          <t>DEL</t>
        </is>
      </c>
      <c r="C769" s="10" t="inlineStr">
        <is>
          <t>VEH-DEL-021</t>
        </is>
      </c>
      <c r="D769" s="10" t="n">
        <v>1</v>
      </c>
      <c r="E769" s="10" t="inlineStr">
        <is>
          <t>ORD-DEL-002459</t>
        </is>
      </c>
      <c r="F769" s="10" t="inlineStr">
        <is>
          <t>ECOM_B2C</t>
        </is>
      </c>
      <c r="G769" s="10" t="inlineStr">
        <is>
          <t>Noida</t>
        </is>
      </c>
      <c r="H769" s="10" t="n">
        <v>1.94</v>
      </c>
      <c r="I769" s="10" t="n">
        <v>720</v>
      </c>
      <c r="J769" s="10" t="n">
        <v>900</v>
      </c>
      <c r="K769" s="12" t="n">
        <v>720</v>
      </c>
      <c r="L769" s="12" t="n">
        <v>0</v>
      </c>
      <c r="M769" s="10" t="inlineStr">
        <is>
          <t>Yes</t>
        </is>
      </c>
      <c r="N769" s="11" t="n">
        <v>1.243</v>
      </c>
      <c r="O769" s="11" t="n">
        <v>1.678</v>
      </c>
      <c r="P769" s="12" t="n">
        <v>3.6</v>
      </c>
    </row>
    <row r="770">
      <c r="B770" s="16" t="inlineStr">
        <is>
          <t>DEL</t>
        </is>
      </c>
      <c r="C770" s="16" t="inlineStr">
        <is>
          <t>VEH-DEL-021</t>
        </is>
      </c>
      <c r="D770" s="16" t="n">
        <v>2</v>
      </c>
      <c r="E770" s="16" t="inlineStr">
        <is>
          <t>ORD-DEL-002562</t>
        </is>
      </c>
      <c r="F770" s="16" t="inlineStr">
        <is>
          <t>ECOM_B2C</t>
        </is>
      </c>
      <c r="G770" s="16" t="inlineStr">
        <is>
          <t>Noida</t>
        </is>
      </c>
      <c r="H770" s="16" t="n">
        <v>3.46</v>
      </c>
      <c r="I770" s="16" t="n">
        <v>720</v>
      </c>
      <c r="J770" s="16" t="n">
        <v>900</v>
      </c>
      <c r="K770" s="18" t="n">
        <v>725.6</v>
      </c>
      <c r="L770" s="18" t="n">
        <v>0</v>
      </c>
      <c r="M770" s="16" t="inlineStr">
        <is>
          <t>Yes</t>
        </is>
      </c>
      <c r="N770" s="17" t="n">
        <v>0.552</v>
      </c>
      <c r="O770" s="17" t="n">
        <v>0.745</v>
      </c>
      <c r="P770" s="18" t="n">
        <v>1.6</v>
      </c>
    </row>
    <row r="771">
      <c r="B771" s="10" t="inlineStr">
        <is>
          <t>DEL</t>
        </is>
      </c>
      <c r="C771" s="10" t="inlineStr">
        <is>
          <t>VEH-DEL-021</t>
        </is>
      </c>
      <c r="D771" s="10" t="n">
        <v>3</v>
      </c>
      <c r="E771" s="10" t="inlineStr">
        <is>
          <t>ORD-DEL-002597</t>
        </is>
      </c>
      <c r="F771" s="10" t="inlineStr">
        <is>
          <t>FMCG_RETAIL</t>
        </is>
      </c>
      <c r="G771" s="10" t="inlineStr">
        <is>
          <t>Central Delhi</t>
        </is>
      </c>
      <c r="H771" s="10" t="n">
        <v>166.78</v>
      </c>
      <c r="I771" s="10" t="n">
        <v>600</v>
      </c>
      <c r="J771" s="10" t="n">
        <v>960</v>
      </c>
      <c r="K771" s="12" t="n">
        <v>773.7</v>
      </c>
      <c r="L771" s="12" t="n">
        <v>0</v>
      </c>
      <c r="M771" s="10" t="inlineStr">
        <is>
          <t>Yes</t>
        </is>
      </c>
      <c r="N771" s="11" t="n">
        <v>14.494</v>
      </c>
      <c r="O771" s="11" t="n">
        <v>19.567</v>
      </c>
      <c r="P771" s="12" t="n">
        <v>44.1</v>
      </c>
    </row>
    <row r="772">
      <c r="B772" s="16" t="inlineStr">
        <is>
          <t>DEL</t>
        </is>
      </c>
      <c r="C772" s="16" t="inlineStr">
        <is>
          <t>VEH-DEL-021</t>
        </is>
      </c>
      <c r="D772" s="16" t="n">
        <v>4</v>
      </c>
      <c r="E772" s="16" t="inlineStr">
        <is>
          <t>ORD-DEL-002596</t>
        </is>
      </c>
      <c r="F772" s="16" t="inlineStr">
        <is>
          <t>FMCG_RETAIL</t>
        </is>
      </c>
      <c r="G772" s="16" t="inlineStr">
        <is>
          <t>Central Delhi</t>
        </is>
      </c>
      <c r="H772" s="16" t="n">
        <v>100.91</v>
      </c>
      <c r="I772" s="16" t="n">
        <v>600</v>
      </c>
      <c r="J772" s="16" t="n">
        <v>960</v>
      </c>
      <c r="K772" s="18" t="n">
        <v>789.5</v>
      </c>
      <c r="L772" s="18" t="n">
        <v>0</v>
      </c>
      <c r="M772" s="16" t="inlineStr">
        <is>
          <t>Yes</t>
        </is>
      </c>
      <c r="N772" s="17" t="n">
        <v>0</v>
      </c>
      <c r="O772" s="17" t="n">
        <v>0</v>
      </c>
      <c r="P772" s="18" t="n">
        <v>0</v>
      </c>
    </row>
    <row r="773">
      <c r="B773" s="10" t="inlineStr">
        <is>
          <t>DEL</t>
        </is>
      </c>
      <c r="C773" s="10" t="inlineStr">
        <is>
          <t>VEH-DEL-021</t>
        </is>
      </c>
      <c r="D773" s="10" t="n">
        <v>5</v>
      </c>
      <c r="E773" s="10" t="inlineStr">
        <is>
          <t>ORD-DEL-002574</t>
        </is>
      </c>
      <c r="F773" s="10" t="inlineStr">
        <is>
          <t>FMCG_RETAIL</t>
        </is>
      </c>
      <c r="G773" s="10" t="inlineStr">
        <is>
          <t>Central Delhi</t>
        </is>
      </c>
      <c r="H773" s="10" t="n">
        <v>181.52</v>
      </c>
      <c r="I773" s="10" t="n">
        <v>600</v>
      </c>
      <c r="J773" s="10" t="n">
        <v>960</v>
      </c>
      <c r="K773" s="12" t="n">
        <v>808.3</v>
      </c>
      <c r="L773" s="12" t="n">
        <v>0</v>
      </c>
      <c r="M773" s="10" t="inlineStr">
        <is>
          <t>Yes</t>
        </is>
      </c>
      <c r="N773" s="11" t="n">
        <v>1.704</v>
      </c>
      <c r="O773" s="11" t="n">
        <v>2.3</v>
      </c>
      <c r="P773" s="12" t="n">
        <v>5.2</v>
      </c>
    </row>
    <row r="774">
      <c r="B774" s="16" t="inlineStr">
        <is>
          <t>DEL</t>
        </is>
      </c>
      <c r="C774" s="16" t="inlineStr">
        <is>
          <t>VEH-DEL-021</t>
        </is>
      </c>
      <c r="D774" s="16" t="n">
        <v>6</v>
      </c>
      <c r="E774" s="16" t="inlineStr">
        <is>
          <t>ORD-DEL-002593</t>
        </is>
      </c>
      <c r="F774" s="16" t="inlineStr">
        <is>
          <t>FMCG_RETAIL</t>
        </is>
      </c>
      <c r="G774" s="16" t="inlineStr">
        <is>
          <t>Central Delhi</t>
        </is>
      </c>
      <c r="H774" s="16" t="n">
        <v>140.74</v>
      </c>
      <c r="I774" s="16" t="n">
        <v>600</v>
      </c>
      <c r="J774" s="16" t="n">
        <v>960</v>
      </c>
      <c r="K774" s="18" t="n">
        <v>825.1</v>
      </c>
      <c r="L774" s="18" t="n">
        <v>0</v>
      </c>
      <c r="M774" s="16" t="inlineStr">
        <is>
          <t>Yes</t>
        </is>
      </c>
      <c r="N774" s="17" t="n">
        <v>0.146</v>
      </c>
      <c r="O774" s="17" t="n">
        <v>0.196</v>
      </c>
      <c r="P774" s="18" t="n">
        <v>0.4</v>
      </c>
    </row>
    <row r="775">
      <c r="B775" s="10" t="inlineStr">
        <is>
          <t>DEL</t>
        </is>
      </c>
      <c r="C775" s="10" t="inlineStr">
        <is>
          <t>VEH-DEL-021</t>
        </is>
      </c>
      <c r="D775" s="10" t="n">
        <v>7</v>
      </c>
      <c r="E775" s="10" t="inlineStr">
        <is>
          <t>ORD-DEL-002579</t>
        </is>
      </c>
      <c r="F775" s="10" t="inlineStr">
        <is>
          <t>FMCG_RETAIL</t>
        </is>
      </c>
      <c r="G775" s="10" t="inlineStr">
        <is>
          <t>Central Delhi</t>
        </is>
      </c>
      <c r="H775" s="10" t="n">
        <v>133.66</v>
      </c>
      <c r="I775" s="10" t="n">
        <v>600</v>
      </c>
      <c r="J775" s="10" t="n">
        <v>960</v>
      </c>
      <c r="K775" s="12" t="n">
        <v>840</v>
      </c>
      <c r="L775" s="12" t="n">
        <v>0</v>
      </c>
      <c r="M775" s="10" t="inlineStr">
        <is>
          <t>Yes</t>
        </is>
      </c>
      <c r="N775" s="11" t="n">
        <v>0</v>
      </c>
      <c r="O775" s="11" t="n">
        <v>0</v>
      </c>
      <c r="P775" s="12" t="n">
        <v>0</v>
      </c>
    </row>
    <row r="776">
      <c r="B776" s="16" t="inlineStr">
        <is>
          <t>DEL</t>
        </is>
      </c>
      <c r="C776" s="16" t="inlineStr">
        <is>
          <t>VEH-DEL-021</t>
        </is>
      </c>
      <c r="D776" s="16" t="n">
        <v>8</v>
      </c>
      <c r="E776" s="16" t="inlineStr">
        <is>
          <t>ORD-DEL-002583</t>
        </is>
      </c>
      <c r="F776" s="16" t="inlineStr">
        <is>
          <t>FMCG_RETAIL</t>
        </is>
      </c>
      <c r="G776" s="16" t="inlineStr">
        <is>
          <t>Central Delhi</t>
        </is>
      </c>
      <c r="H776" s="16" t="n">
        <v>144.32</v>
      </c>
      <c r="I776" s="16" t="n">
        <v>840</v>
      </c>
      <c r="J776" s="16" t="n">
        <v>1080</v>
      </c>
      <c r="K776" s="18" t="n">
        <v>854.7</v>
      </c>
      <c r="L776" s="18" t="n">
        <v>0</v>
      </c>
      <c r="M776" s="16" t="inlineStr">
        <is>
          <t>Yes</t>
        </is>
      </c>
      <c r="N776" s="17" t="n">
        <v>0</v>
      </c>
      <c r="O776" s="17" t="n">
        <v>0</v>
      </c>
      <c r="P776" s="18" t="n">
        <v>0</v>
      </c>
    </row>
    <row r="777">
      <c r="B777" s="10" t="inlineStr">
        <is>
          <t>DEL</t>
        </is>
      </c>
      <c r="C777" s="10" t="inlineStr">
        <is>
          <t>VEH-DEL-021</t>
        </is>
      </c>
      <c r="D777" s="10" t="n">
        <v>9</v>
      </c>
      <c r="E777" s="10" t="inlineStr">
        <is>
          <t>ORD-DEL-002573</t>
        </is>
      </c>
      <c r="F777" s="10" t="inlineStr">
        <is>
          <t>FMCG_RETAIL</t>
        </is>
      </c>
      <c r="G777" s="10" t="inlineStr">
        <is>
          <t>Central Delhi</t>
        </is>
      </c>
      <c r="H777" s="10" t="n">
        <v>65.5</v>
      </c>
      <c r="I777" s="10" t="n">
        <v>840</v>
      </c>
      <c r="J777" s="10" t="n">
        <v>1080</v>
      </c>
      <c r="K777" s="12" t="n">
        <v>884.7</v>
      </c>
      <c r="L777" s="12" t="n">
        <v>0</v>
      </c>
      <c r="M777" s="10" t="inlineStr">
        <is>
          <t>Yes</t>
        </is>
      </c>
      <c r="N777" s="11" t="n">
        <v>4.918</v>
      </c>
      <c r="O777" s="11" t="n">
        <v>6.64</v>
      </c>
      <c r="P777" s="12" t="n">
        <v>15</v>
      </c>
    </row>
    <row r="778">
      <c r="B778" s="16" t="inlineStr">
        <is>
          <t>DEL</t>
        </is>
      </c>
      <c r="C778" s="16" t="inlineStr">
        <is>
          <t>VEH-DEL-021</t>
        </is>
      </c>
      <c r="D778" s="16" t="n">
        <v>10</v>
      </c>
      <c r="E778" s="16" t="inlineStr">
        <is>
          <t>ORD-DEL-002454</t>
        </is>
      </c>
      <c r="F778" s="16" t="inlineStr">
        <is>
          <t>ECOM_B2C</t>
        </is>
      </c>
      <c r="G778" s="16" t="inlineStr">
        <is>
          <t>Noida</t>
        </is>
      </c>
      <c r="H778" s="16" t="n">
        <v>0.77</v>
      </c>
      <c r="I778" s="16" t="n">
        <v>900</v>
      </c>
      <c r="J778" s="16" t="n">
        <v>1080</v>
      </c>
      <c r="K778" s="18" t="n">
        <v>932.3</v>
      </c>
      <c r="L778" s="18" t="n">
        <v>0</v>
      </c>
      <c r="M778" s="16" t="inlineStr">
        <is>
          <t>Yes</t>
        </is>
      </c>
      <c r="N778" s="17" t="n">
        <v>12.206</v>
      </c>
      <c r="O778" s="17" t="n">
        <v>16.478</v>
      </c>
      <c r="P778" s="18" t="n">
        <v>35.3</v>
      </c>
    </row>
    <row r="779">
      <c r="B779" s="10" t="inlineStr">
        <is>
          <t>DEL</t>
        </is>
      </c>
      <c r="C779" s="10" t="inlineStr">
        <is>
          <t>VEH-DEL-021</t>
        </is>
      </c>
      <c r="D779" s="10" t="n">
        <v>11</v>
      </c>
      <c r="E779" s="10" t="inlineStr">
        <is>
          <t>ORD-DEL-002476</t>
        </is>
      </c>
      <c r="F779" s="10" t="inlineStr">
        <is>
          <t>ECOM_B2C</t>
        </is>
      </c>
      <c r="G779" s="10" t="inlineStr">
        <is>
          <t>Noida</t>
        </is>
      </c>
      <c r="H779" s="10" t="n">
        <v>4.18</v>
      </c>
      <c r="I779" s="10" t="n">
        <v>900</v>
      </c>
      <c r="J779" s="10" t="n">
        <v>1080</v>
      </c>
      <c r="K779" s="12" t="n">
        <v>956.8</v>
      </c>
      <c r="L779" s="12" t="n">
        <v>0</v>
      </c>
      <c r="M779" s="10" t="inlineStr">
        <is>
          <t>Yes</t>
        </is>
      </c>
      <c r="N779" s="11" t="n">
        <v>7.078</v>
      </c>
      <c r="O779" s="11" t="n">
        <v>9.555999999999999</v>
      </c>
      <c r="P779" s="12" t="n">
        <v>20.5</v>
      </c>
    </row>
    <row r="780">
      <c r="B780" s="16" t="inlineStr">
        <is>
          <t>DEL</t>
        </is>
      </c>
      <c r="C780" s="16" t="inlineStr">
        <is>
          <t>VEH-DEL-021</t>
        </is>
      </c>
      <c r="D780" s="16" t="n">
        <v>12</v>
      </c>
      <c r="E780" s="16" t="inlineStr">
        <is>
          <t>ORD-DEL-002473</t>
        </is>
      </c>
      <c r="F780" s="16" t="inlineStr">
        <is>
          <t>ECOM_B2C</t>
        </is>
      </c>
      <c r="G780" s="16" t="inlineStr">
        <is>
          <t>Noida</t>
        </is>
      </c>
      <c r="H780" s="16" t="n">
        <v>1.84</v>
      </c>
      <c r="I780" s="16" t="n">
        <v>1080</v>
      </c>
      <c r="J780" s="16" t="n">
        <v>1200</v>
      </c>
      <c r="K780" s="18" t="n">
        <v>961.2</v>
      </c>
      <c r="L780" s="18" t="n">
        <v>0</v>
      </c>
      <c r="M780" s="16" t="inlineStr">
        <is>
          <t>Yes</t>
        </is>
      </c>
      <c r="N780" s="17" t="n">
        <v>0.152</v>
      </c>
      <c r="O780" s="17" t="n">
        <v>0.205</v>
      </c>
      <c r="P780" s="18" t="n">
        <v>0.4</v>
      </c>
    </row>
    <row r="781">
      <c r="B781" s="10" t="inlineStr">
        <is>
          <t>DEL</t>
        </is>
      </c>
      <c r="C781" s="10" t="inlineStr">
        <is>
          <t>VEH-DEL-021</t>
        </is>
      </c>
      <c r="D781" s="10" t="n">
        <v>13</v>
      </c>
      <c r="E781" s="10" t="inlineStr">
        <is>
          <t>ORD-DEL-002424</t>
        </is>
      </c>
      <c r="F781" s="10" t="inlineStr">
        <is>
          <t>ECOM_B2C</t>
        </is>
      </c>
      <c r="G781" s="10" t="inlineStr">
        <is>
          <t>Noida</t>
        </is>
      </c>
      <c r="H781" s="10" t="n">
        <v>0.36</v>
      </c>
      <c r="I781" s="10" t="n">
        <v>1080</v>
      </c>
      <c r="J781" s="10" t="n">
        <v>1260</v>
      </c>
      <c r="K781" s="12" t="n">
        <v>1125.5</v>
      </c>
      <c r="L781" s="12" t="n">
        <v>0</v>
      </c>
      <c r="M781" s="10" t="inlineStr">
        <is>
          <t>Yes</t>
        </is>
      </c>
      <c r="N781" s="11" t="n">
        <v>7.17</v>
      </c>
      <c r="O781" s="11" t="n">
        <v>9.679</v>
      </c>
      <c r="P781" s="12" t="n">
        <v>41.5</v>
      </c>
    </row>
    <row r="782">
      <c r="B782" s="16" t="inlineStr">
        <is>
          <t>DEL</t>
        </is>
      </c>
      <c r="C782" s="16" t="inlineStr">
        <is>
          <t>VEH-DEL-021</t>
        </is>
      </c>
      <c r="D782" s="16" t="n">
        <v>14</v>
      </c>
      <c r="E782" s="16" t="inlineStr">
        <is>
          <t>ORD-DEL-002461</t>
        </is>
      </c>
      <c r="F782" s="16" t="inlineStr">
        <is>
          <t>ECOM_B2C</t>
        </is>
      </c>
      <c r="G782" s="16" t="inlineStr">
        <is>
          <t>Noida</t>
        </is>
      </c>
      <c r="H782" s="16" t="n">
        <v>1.33</v>
      </c>
      <c r="I782" s="16" t="n">
        <v>1080</v>
      </c>
      <c r="J782" s="16" t="n">
        <v>1260</v>
      </c>
      <c r="K782" s="18" t="n">
        <v>1134.5</v>
      </c>
      <c r="L782" s="18" t="n">
        <v>0</v>
      </c>
      <c r="M782" s="16" t="inlineStr">
        <is>
          <t>Yes</t>
        </is>
      </c>
      <c r="N782" s="17" t="n">
        <v>0.862</v>
      </c>
      <c r="O782" s="17" t="n">
        <v>1.163</v>
      </c>
      <c r="P782" s="18" t="n">
        <v>5</v>
      </c>
    </row>
    <row r="783">
      <c r="B783" s="10" t="inlineStr">
        <is>
          <t>DEL</t>
        </is>
      </c>
      <c r="C783" s="10" t="inlineStr">
        <is>
          <t>VEH-DEL-021</t>
        </is>
      </c>
      <c r="D783" s="10" t="n">
        <v>15</v>
      </c>
      <c r="E783" s="10" t="inlineStr">
        <is>
          <t>ORD-DEL-002565</t>
        </is>
      </c>
      <c r="F783" s="10" t="inlineStr">
        <is>
          <t>ECOM_B2C</t>
        </is>
      </c>
      <c r="G783" s="10" t="inlineStr">
        <is>
          <t>Noida</t>
        </is>
      </c>
      <c r="H783" s="10" t="n">
        <v>1.69</v>
      </c>
      <c r="I783" s="10" t="n">
        <v>1080</v>
      </c>
      <c r="J783" s="10" t="n">
        <v>1260</v>
      </c>
      <c r="K783" s="12" t="n">
        <v>1140.3</v>
      </c>
      <c r="L783" s="12" t="n">
        <v>0</v>
      </c>
      <c r="M783" s="10" t="inlineStr">
        <is>
          <t>Yes</t>
        </is>
      </c>
      <c r="N783" s="11" t="n">
        <v>0.313</v>
      </c>
      <c r="O783" s="11" t="n">
        <v>0.422</v>
      </c>
      <c r="P783" s="12" t="n">
        <v>1.8</v>
      </c>
    </row>
    <row r="784">
      <c r="B784" s="16" t="inlineStr">
        <is>
          <t>DEL</t>
        </is>
      </c>
      <c r="C784" s="16" t="inlineStr">
        <is>
          <t>VEH-DEL-022</t>
        </is>
      </c>
      <c r="D784" s="16" t="n">
        <v>1</v>
      </c>
      <c r="E784" s="16" t="inlineStr">
        <is>
          <t>ORD-DEL-002545</t>
        </is>
      </c>
      <c r="F784" s="16" t="inlineStr">
        <is>
          <t>ECOM_B2C</t>
        </is>
      </c>
      <c r="G784" s="16" t="inlineStr">
        <is>
          <t>Noida</t>
        </is>
      </c>
      <c r="H784" s="16" t="n">
        <v>9.359999999999999</v>
      </c>
      <c r="I784" s="16" t="n">
        <v>540</v>
      </c>
      <c r="J784" s="16" t="n">
        <v>720</v>
      </c>
      <c r="K784" s="18" t="n">
        <v>540</v>
      </c>
      <c r="L784" s="18" t="n">
        <v>0</v>
      </c>
      <c r="M784" s="16" t="inlineStr">
        <is>
          <t>Yes</t>
        </is>
      </c>
      <c r="N784" s="17" t="n">
        <v>1.103</v>
      </c>
      <c r="O784" s="17" t="n">
        <v>1.489</v>
      </c>
      <c r="P784" s="18" t="n">
        <v>5.2</v>
      </c>
    </row>
    <row r="785">
      <c r="B785" s="10" t="inlineStr">
        <is>
          <t>DEL</t>
        </is>
      </c>
      <c r="C785" s="10" t="inlineStr">
        <is>
          <t>VEH-DEL-022</t>
        </is>
      </c>
      <c r="D785" s="10" t="n">
        <v>2</v>
      </c>
      <c r="E785" s="10" t="inlineStr">
        <is>
          <t>ORD-DEL-002610</t>
        </is>
      </c>
      <c r="F785" s="10" t="inlineStr">
        <is>
          <t>FMCG_RETAIL</t>
        </is>
      </c>
      <c r="G785" s="10" t="inlineStr">
        <is>
          <t>Noida</t>
        </is>
      </c>
      <c r="H785" s="10" t="n">
        <v>98.55</v>
      </c>
      <c r="I785" s="10" t="n">
        <v>540</v>
      </c>
      <c r="J785" s="10" t="n">
        <v>780</v>
      </c>
      <c r="K785" s="12" t="n">
        <v>545.3</v>
      </c>
      <c r="L785" s="12" t="n">
        <v>0</v>
      </c>
      <c r="M785" s="10" t="inlineStr">
        <is>
          <t>Yes</t>
        </is>
      </c>
      <c r="N785" s="11" t="n">
        <v>0.285</v>
      </c>
      <c r="O785" s="11" t="n">
        <v>0.385</v>
      </c>
      <c r="P785" s="12" t="n">
        <v>1.3</v>
      </c>
    </row>
    <row r="786">
      <c r="B786" s="16" t="inlineStr">
        <is>
          <t>DEL</t>
        </is>
      </c>
      <c r="C786" s="16" t="inlineStr">
        <is>
          <t>VEH-DEL-022</t>
        </is>
      </c>
      <c r="D786" s="16" t="n">
        <v>3</v>
      </c>
      <c r="E786" s="16" t="inlineStr">
        <is>
          <t>ORD-DEL-002599</t>
        </is>
      </c>
      <c r="F786" s="16" t="inlineStr">
        <is>
          <t>FMCG_RETAIL</t>
        </is>
      </c>
      <c r="G786" s="16" t="inlineStr">
        <is>
          <t>Central Delhi</t>
        </is>
      </c>
      <c r="H786" s="16" t="n">
        <v>49.09</v>
      </c>
      <c r="I786" s="16" t="n">
        <v>540</v>
      </c>
      <c r="J786" s="16" t="n">
        <v>780</v>
      </c>
      <c r="K786" s="18" t="n">
        <v>618.7</v>
      </c>
      <c r="L786" s="18" t="n">
        <v>0</v>
      </c>
      <c r="M786" s="16" t="inlineStr">
        <is>
          <t>Yes</t>
        </is>
      </c>
      <c r="N786" s="17" t="n">
        <v>12.019</v>
      </c>
      <c r="O786" s="17" t="n">
        <v>16.226</v>
      </c>
      <c r="P786" s="18" t="n">
        <v>59.9</v>
      </c>
    </row>
    <row r="787">
      <c r="B787" s="10" t="inlineStr">
        <is>
          <t>DEL</t>
        </is>
      </c>
      <c r="C787" s="10" t="inlineStr">
        <is>
          <t>VEH-DEL-022</t>
        </is>
      </c>
      <c r="D787" s="10" t="n">
        <v>4</v>
      </c>
      <c r="E787" s="10" t="inlineStr">
        <is>
          <t>ORD-DEL-002576</t>
        </is>
      </c>
      <c r="F787" s="10" t="inlineStr">
        <is>
          <t>FMCG_RETAIL</t>
        </is>
      </c>
      <c r="G787" s="10" t="inlineStr">
        <is>
          <t>Central Delhi</t>
        </is>
      </c>
      <c r="H787" s="10" t="n">
        <v>150.81</v>
      </c>
      <c r="I787" s="10" t="n">
        <v>540</v>
      </c>
      <c r="J787" s="10" t="n">
        <v>780</v>
      </c>
      <c r="K787" s="12" t="n">
        <v>643.5</v>
      </c>
      <c r="L787" s="12" t="n">
        <v>0</v>
      </c>
      <c r="M787" s="10" t="inlineStr">
        <is>
          <t>Yes</t>
        </is>
      </c>
      <c r="N787" s="11" t="n">
        <v>2.644</v>
      </c>
      <c r="O787" s="11" t="n">
        <v>3.569</v>
      </c>
      <c r="P787" s="12" t="n">
        <v>13.2</v>
      </c>
    </row>
    <row r="788">
      <c r="B788" s="16" t="inlineStr">
        <is>
          <t>DEL</t>
        </is>
      </c>
      <c r="C788" s="16" t="inlineStr">
        <is>
          <t>VEH-DEL-022</t>
        </is>
      </c>
      <c r="D788" s="16" t="n">
        <v>5</v>
      </c>
      <c r="E788" s="16" t="inlineStr">
        <is>
          <t>ORD-DEL-002605</t>
        </is>
      </c>
      <c r="F788" s="16" t="inlineStr">
        <is>
          <t>FMCG_RETAIL</t>
        </is>
      </c>
      <c r="G788" s="16" t="inlineStr">
        <is>
          <t>Central Delhi</t>
        </is>
      </c>
      <c r="H788" s="16" t="n">
        <v>134.57</v>
      </c>
      <c r="I788" s="16" t="n">
        <v>540</v>
      </c>
      <c r="J788" s="16" t="n">
        <v>780</v>
      </c>
      <c r="K788" s="18" t="n">
        <v>661.5</v>
      </c>
      <c r="L788" s="18" t="n">
        <v>0</v>
      </c>
      <c r="M788" s="16" t="inlineStr">
        <is>
          <t>Yes</t>
        </is>
      </c>
      <c r="N788" s="17" t="n">
        <v>0.545</v>
      </c>
      <c r="O788" s="17" t="n">
        <v>0.736</v>
      </c>
      <c r="P788" s="18" t="n">
        <v>2.7</v>
      </c>
    </row>
    <row r="789">
      <c r="B789" s="10" t="inlineStr">
        <is>
          <t>DEL</t>
        </is>
      </c>
      <c r="C789" s="10" t="inlineStr">
        <is>
          <t>VEH-DEL-022</t>
        </is>
      </c>
      <c r="D789" s="10" t="n">
        <v>6</v>
      </c>
      <c r="E789" s="10" t="inlineStr">
        <is>
          <t>ORD-DEL-002570</t>
        </is>
      </c>
      <c r="F789" s="10" t="inlineStr">
        <is>
          <t>FMCG_RETAIL</t>
        </is>
      </c>
      <c r="G789" s="10" t="inlineStr">
        <is>
          <t>Central Delhi</t>
        </is>
      </c>
      <c r="H789" s="10" t="n">
        <v>150.86</v>
      </c>
      <c r="I789" s="10" t="n">
        <v>540</v>
      </c>
      <c r="J789" s="10" t="n">
        <v>780</v>
      </c>
      <c r="K789" s="12" t="n">
        <v>676.2</v>
      </c>
      <c r="L789" s="12" t="n">
        <v>0</v>
      </c>
      <c r="M789" s="10" t="inlineStr">
        <is>
          <t>Yes</t>
        </is>
      </c>
      <c r="N789" s="11" t="n">
        <v>0</v>
      </c>
      <c r="O789" s="11" t="n">
        <v>0</v>
      </c>
      <c r="P789" s="12" t="n">
        <v>0</v>
      </c>
    </row>
    <row r="790">
      <c r="B790" s="16" t="inlineStr">
        <is>
          <t>DEL</t>
        </is>
      </c>
      <c r="C790" s="16" t="inlineStr">
        <is>
          <t>VEH-DEL-022</t>
        </is>
      </c>
      <c r="D790" s="16" t="n">
        <v>7</v>
      </c>
      <c r="E790" s="16" t="inlineStr">
        <is>
          <t>ORD-DEL-002568</t>
        </is>
      </c>
      <c r="F790" s="16" t="inlineStr">
        <is>
          <t>FMCG_RETAIL</t>
        </is>
      </c>
      <c r="G790" s="16" t="inlineStr">
        <is>
          <t>Central Delhi</t>
        </is>
      </c>
      <c r="H790" s="16" t="n">
        <v>114.23</v>
      </c>
      <c r="I790" s="16" t="n">
        <v>600</v>
      </c>
      <c r="J790" s="16" t="n">
        <v>960</v>
      </c>
      <c r="K790" s="18" t="n">
        <v>697.8</v>
      </c>
      <c r="L790" s="18" t="n">
        <v>0</v>
      </c>
      <c r="M790" s="16" t="inlineStr">
        <is>
          <t>Yes</t>
        </is>
      </c>
      <c r="N790" s="17" t="n">
        <v>2.058</v>
      </c>
      <c r="O790" s="17" t="n">
        <v>2.778</v>
      </c>
      <c r="P790" s="18" t="n">
        <v>6.3</v>
      </c>
    </row>
    <row r="791">
      <c r="B791" s="10" t="inlineStr">
        <is>
          <t>DEL</t>
        </is>
      </c>
      <c r="C791" s="10" t="inlineStr">
        <is>
          <t>VEH-DEL-022</t>
        </is>
      </c>
      <c r="D791" s="10" t="n">
        <v>8</v>
      </c>
      <c r="E791" s="10" t="inlineStr">
        <is>
          <t>ORD-DEL-002590</t>
        </is>
      </c>
      <c r="F791" s="10" t="inlineStr">
        <is>
          <t>FMCG_RETAIL</t>
        </is>
      </c>
      <c r="G791" s="10" t="inlineStr">
        <is>
          <t>Noida</t>
        </is>
      </c>
      <c r="H791" s="10" t="n">
        <v>56.03</v>
      </c>
      <c r="I791" s="10" t="n">
        <v>600</v>
      </c>
      <c r="J791" s="10" t="n">
        <v>960</v>
      </c>
      <c r="K791" s="12" t="n">
        <v>754.6</v>
      </c>
      <c r="L791" s="12" t="n">
        <v>0</v>
      </c>
      <c r="M791" s="10" t="inlineStr">
        <is>
          <t>Yes</t>
        </is>
      </c>
      <c r="N791" s="11" t="n">
        <v>14.779</v>
      </c>
      <c r="O791" s="11" t="n">
        <v>19.952</v>
      </c>
      <c r="P791" s="12" t="n">
        <v>42.8</v>
      </c>
    </row>
    <row r="792">
      <c r="B792" s="16" t="inlineStr">
        <is>
          <t>DEL</t>
        </is>
      </c>
      <c r="C792" s="16" t="inlineStr">
        <is>
          <t>VEH-DEL-023</t>
        </is>
      </c>
      <c r="D792" s="16" t="n">
        <v>1</v>
      </c>
      <c r="E792" s="16" t="inlineStr">
        <is>
          <t>ORD-DEL-002609</t>
        </is>
      </c>
      <c r="F792" s="16" t="inlineStr">
        <is>
          <t>FMCG_RETAIL</t>
        </is>
      </c>
      <c r="G792" s="16" t="inlineStr">
        <is>
          <t>Noida</t>
        </is>
      </c>
      <c r="H792" s="16" t="n">
        <v>139.44</v>
      </c>
      <c r="I792" s="16" t="n">
        <v>540</v>
      </c>
      <c r="J792" s="16" t="n">
        <v>780</v>
      </c>
      <c r="K792" s="18" t="n">
        <v>540</v>
      </c>
      <c r="L792" s="18" t="n">
        <v>0</v>
      </c>
      <c r="M792" s="16" t="inlineStr">
        <is>
          <t>Yes</t>
        </is>
      </c>
      <c r="N792" s="17" t="n">
        <v>1.081</v>
      </c>
      <c r="O792" s="17" t="n">
        <v>1.459</v>
      </c>
      <c r="P792" s="18" t="n">
        <v>5.1</v>
      </c>
    </row>
    <row r="793">
      <c r="B793" s="10" t="inlineStr">
        <is>
          <t>DEL</t>
        </is>
      </c>
      <c r="C793" s="10" t="inlineStr">
        <is>
          <t>VEH-DEL-023</t>
        </is>
      </c>
      <c r="D793" s="10" t="n">
        <v>2</v>
      </c>
      <c r="E793" s="10" t="inlineStr">
        <is>
          <t>ORD-DEL-002586</t>
        </is>
      </c>
      <c r="F793" s="10" t="inlineStr">
        <is>
          <t>FMCG_RETAIL</t>
        </is>
      </c>
      <c r="G793" s="10" t="inlineStr">
        <is>
          <t>Noida</t>
        </is>
      </c>
      <c r="H793" s="10" t="n">
        <v>119.34</v>
      </c>
      <c r="I793" s="10" t="n">
        <v>540</v>
      </c>
      <c r="J793" s="10" t="n">
        <v>780</v>
      </c>
      <c r="K793" s="12" t="n">
        <v>554.9</v>
      </c>
      <c r="L793" s="12" t="n">
        <v>0</v>
      </c>
      <c r="M793" s="10" t="inlineStr">
        <is>
          <t>Yes</t>
        </is>
      </c>
      <c r="N793" s="11" t="n">
        <v>0</v>
      </c>
      <c r="O793" s="11" t="n">
        <v>0</v>
      </c>
      <c r="P793" s="12" t="n">
        <v>0</v>
      </c>
    </row>
    <row r="794">
      <c r="B794" s="16" t="inlineStr">
        <is>
          <t>DEL</t>
        </is>
      </c>
      <c r="C794" s="16" t="inlineStr">
        <is>
          <t>VEH-DEL-023</t>
        </is>
      </c>
      <c r="D794" s="16" t="n">
        <v>3</v>
      </c>
      <c r="E794" s="16" t="inlineStr">
        <is>
          <t>ORD-DEL-002478</t>
        </is>
      </c>
      <c r="F794" s="16" t="inlineStr">
        <is>
          <t>ECOM_B2C</t>
        </is>
      </c>
      <c r="G794" s="16" t="inlineStr">
        <is>
          <t>Noida</t>
        </is>
      </c>
      <c r="H794" s="16" t="n">
        <v>2.47</v>
      </c>
      <c r="I794" s="16" t="n">
        <v>540</v>
      </c>
      <c r="J794" s="16" t="n">
        <v>720</v>
      </c>
      <c r="K794" s="18" t="n">
        <v>569.4</v>
      </c>
      <c r="L794" s="18" t="n">
        <v>0</v>
      </c>
      <c r="M794" s="16" t="inlineStr">
        <is>
          <t>Yes</t>
        </is>
      </c>
      <c r="N794" s="17" t="n">
        <v>0.068</v>
      </c>
      <c r="O794" s="17" t="n">
        <v>0.091</v>
      </c>
      <c r="P794" s="18" t="n">
        <v>0.3</v>
      </c>
    </row>
    <row r="795">
      <c r="B795" s="10" t="inlineStr">
        <is>
          <t>DEL</t>
        </is>
      </c>
      <c r="C795" s="10" t="inlineStr">
        <is>
          <t>VEH-DEL-023</t>
        </is>
      </c>
      <c r="D795" s="10" t="n">
        <v>4</v>
      </c>
      <c r="E795" s="10" t="inlineStr">
        <is>
          <t>ORD-DEL-002468</t>
        </is>
      </c>
      <c r="F795" s="10" t="inlineStr">
        <is>
          <t>ECOM_B2C</t>
        </is>
      </c>
      <c r="G795" s="10" t="inlineStr">
        <is>
          <t>Noida</t>
        </is>
      </c>
      <c r="H795" s="10" t="n">
        <v>1.39</v>
      </c>
      <c r="I795" s="10" t="n">
        <v>540</v>
      </c>
      <c r="J795" s="10" t="n">
        <v>720</v>
      </c>
      <c r="K795" s="12" t="n">
        <v>576.5</v>
      </c>
      <c r="L795" s="12" t="n">
        <v>0</v>
      </c>
      <c r="M795" s="10" t="inlineStr">
        <is>
          <t>Yes</t>
        </is>
      </c>
      <c r="N795" s="11" t="n">
        <v>0.654</v>
      </c>
      <c r="O795" s="11" t="n">
        <v>0.883</v>
      </c>
      <c r="P795" s="12" t="n">
        <v>3.1</v>
      </c>
    </row>
    <row r="796">
      <c r="B796" s="16" t="inlineStr">
        <is>
          <t>DEL</t>
        </is>
      </c>
      <c r="C796" s="16" t="inlineStr">
        <is>
          <t>VEH-DEL-023</t>
        </is>
      </c>
      <c r="D796" s="16" t="n">
        <v>5</v>
      </c>
      <c r="E796" s="16" t="inlineStr">
        <is>
          <t>ORD-DEL-002606</t>
        </is>
      </c>
      <c r="F796" s="16" t="inlineStr">
        <is>
          <t>FMCG_RETAIL</t>
        </is>
      </c>
      <c r="G796" s="16" t="inlineStr">
        <is>
          <t>Noida</t>
        </is>
      </c>
      <c r="H796" s="16" t="n">
        <v>88.34999999999999</v>
      </c>
      <c r="I796" s="16" t="n">
        <v>540</v>
      </c>
      <c r="J796" s="16" t="n">
        <v>780</v>
      </c>
      <c r="K796" s="18" t="n">
        <v>604.7</v>
      </c>
      <c r="L796" s="18" t="n">
        <v>0</v>
      </c>
      <c r="M796" s="16" t="inlineStr">
        <is>
          <t>Yes</t>
        </is>
      </c>
      <c r="N796" s="17" t="n">
        <v>5.104</v>
      </c>
      <c r="O796" s="17" t="n">
        <v>6.89</v>
      </c>
      <c r="P796" s="18" t="n">
        <v>24.2</v>
      </c>
    </row>
    <row r="797">
      <c r="B797" s="10" t="inlineStr">
        <is>
          <t>DEL</t>
        </is>
      </c>
      <c r="C797" s="10" t="inlineStr">
        <is>
          <t>VEH-DEL-023</t>
        </is>
      </c>
      <c r="D797" s="10" t="n">
        <v>6</v>
      </c>
      <c r="E797" s="10" t="inlineStr">
        <is>
          <t>ORD-DEL-002581</t>
        </is>
      </c>
      <c r="F797" s="10" t="inlineStr">
        <is>
          <t>FMCG_RETAIL</t>
        </is>
      </c>
      <c r="G797" s="10" t="inlineStr">
        <is>
          <t>Noida</t>
        </is>
      </c>
      <c r="H797" s="10" t="n">
        <v>180.67</v>
      </c>
      <c r="I797" s="10" t="n">
        <v>600</v>
      </c>
      <c r="J797" s="10" t="n">
        <v>960</v>
      </c>
      <c r="K797" s="12" t="n">
        <v>619.8</v>
      </c>
      <c r="L797" s="12" t="n">
        <v>0</v>
      </c>
      <c r="M797" s="10" t="inlineStr">
        <is>
          <t>Yes</t>
        </is>
      </c>
      <c r="N797" s="11" t="n">
        <v>0.436</v>
      </c>
      <c r="O797" s="11" t="n">
        <v>0.588</v>
      </c>
      <c r="P797" s="12" t="n">
        <v>2.1</v>
      </c>
    </row>
    <row r="798">
      <c r="B798" s="16" t="inlineStr">
        <is>
          <t>DEL</t>
        </is>
      </c>
      <c r="C798" s="16" t="inlineStr">
        <is>
          <t>VEH-DEL-023</t>
        </is>
      </c>
      <c r="D798" s="16" t="n">
        <v>7</v>
      </c>
      <c r="E798" s="16" t="inlineStr">
        <is>
          <t>ORD-DEL-002577</t>
        </is>
      </c>
      <c r="F798" s="16" t="inlineStr">
        <is>
          <t>FMCG_RETAIL</t>
        </is>
      </c>
      <c r="G798" s="16" t="inlineStr">
        <is>
          <t>Noida</t>
        </is>
      </c>
      <c r="H798" s="16" t="n">
        <v>111.83</v>
      </c>
      <c r="I798" s="16" t="n">
        <v>540</v>
      </c>
      <c r="J798" s="16" t="n">
        <v>780</v>
      </c>
      <c r="K798" s="18" t="n">
        <v>638.1</v>
      </c>
      <c r="L798" s="18" t="n">
        <v>0</v>
      </c>
      <c r="M798" s="16" t="inlineStr">
        <is>
          <t>Yes</t>
        </is>
      </c>
      <c r="N798" s="17" t="n">
        <v>0.408</v>
      </c>
      <c r="O798" s="17" t="n">
        <v>0.55</v>
      </c>
      <c r="P798" s="18" t="n">
        <v>1.9</v>
      </c>
    </row>
    <row r="799">
      <c r="B799" s="10" t="inlineStr">
        <is>
          <t>DEL</t>
        </is>
      </c>
      <c r="C799" s="10" t="inlineStr">
        <is>
          <t>VEH-DEL-023</t>
        </is>
      </c>
      <c r="D799" s="10" t="n">
        <v>8</v>
      </c>
      <c r="E799" s="10" t="inlineStr">
        <is>
          <t>ORD-DEL-002465</t>
        </is>
      </c>
      <c r="F799" s="10" t="inlineStr">
        <is>
          <t>ECOM_B2C</t>
        </is>
      </c>
      <c r="G799" s="10" t="inlineStr">
        <is>
          <t>Noida</t>
        </is>
      </c>
      <c r="H799" s="10" t="n">
        <v>9.01</v>
      </c>
      <c r="I799" s="10" t="n">
        <v>600</v>
      </c>
      <c r="J799" s="10" t="n">
        <v>720</v>
      </c>
      <c r="K799" s="12" t="n">
        <v>688.8</v>
      </c>
      <c r="L799" s="12" t="n">
        <v>0</v>
      </c>
      <c r="M799" s="10" t="inlineStr">
        <is>
          <t>Yes</t>
        </is>
      </c>
      <c r="N799" s="11" t="n">
        <v>7.783</v>
      </c>
      <c r="O799" s="11" t="n">
        <v>10.506</v>
      </c>
      <c r="P799" s="12" t="n">
        <v>36.9</v>
      </c>
    </row>
    <row r="800">
      <c r="B800" s="16" t="inlineStr">
        <is>
          <t>DEL</t>
        </is>
      </c>
      <c r="C800" s="16" t="inlineStr">
        <is>
          <t>VEH-DEL-023</t>
        </is>
      </c>
      <c r="D800" s="16" t="n">
        <v>9</v>
      </c>
      <c r="E800" s="16" t="inlineStr">
        <is>
          <t>ORD-DEL-002487</t>
        </is>
      </c>
      <c r="F800" s="16" t="inlineStr">
        <is>
          <t>ECOM_B2C</t>
        </is>
      </c>
      <c r="G800" s="16" t="inlineStr">
        <is>
          <t>Noida</t>
        </is>
      </c>
      <c r="H800" s="16" t="n">
        <v>3.52</v>
      </c>
      <c r="I800" s="16" t="n">
        <v>540</v>
      </c>
      <c r="J800" s="16" t="n">
        <v>720</v>
      </c>
      <c r="K800" s="18" t="n">
        <v>694.4</v>
      </c>
      <c r="L800" s="18" t="n">
        <v>0</v>
      </c>
      <c r="M800" s="16" t="inlineStr">
        <is>
          <t>Yes</t>
        </is>
      </c>
      <c r="N800" s="17" t="n">
        <v>0.546</v>
      </c>
      <c r="O800" s="17" t="n">
        <v>0.737</v>
      </c>
      <c r="P800" s="18" t="n">
        <v>1.6</v>
      </c>
    </row>
    <row r="801">
      <c r="B801" s="10" t="inlineStr">
        <is>
          <t>DEL</t>
        </is>
      </c>
      <c r="C801" s="10" t="inlineStr">
        <is>
          <t>VEH-DEL-023</t>
        </is>
      </c>
      <c r="D801" s="10" t="n">
        <v>10</v>
      </c>
      <c r="E801" s="10" t="inlineStr">
        <is>
          <t>ORD-DEL-002541</t>
        </is>
      </c>
      <c r="F801" s="10" t="inlineStr">
        <is>
          <t>ECOM_B2C</t>
        </is>
      </c>
      <c r="G801" s="10" t="inlineStr">
        <is>
          <t>Noida</t>
        </is>
      </c>
      <c r="H801" s="10" t="n">
        <v>1.53</v>
      </c>
      <c r="I801" s="10" t="n">
        <v>600</v>
      </c>
      <c r="J801" s="10" t="n">
        <v>720</v>
      </c>
      <c r="K801" s="12" t="n">
        <v>699.9</v>
      </c>
      <c r="L801" s="12" t="n">
        <v>0</v>
      </c>
      <c r="M801" s="10" t="inlineStr">
        <is>
          <t>Yes</t>
        </is>
      </c>
      <c r="N801" s="11" t="n">
        <v>0.525</v>
      </c>
      <c r="O801" s="11" t="n">
        <v>0.709</v>
      </c>
      <c r="P801" s="12" t="n">
        <v>1.5</v>
      </c>
    </row>
    <row r="802">
      <c r="B802" s="16" t="inlineStr">
        <is>
          <t>DEL</t>
        </is>
      </c>
      <c r="C802" s="16" t="inlineStr">
        <is>
          <t>VEH-DEL-023</t>
        </is>
      </c>
      <c r="D802" s="16" t="n">
        <v>11</v>
      </c>
      <c r="E802" s="16" t="inlineStr">
        <is>
          <t>ORD-DEL-002449</t>
        </is>
      </c>
      <c r="F802" s="16" t="inlineStr">
        <is>
          <t>ECOM_B2C</t>
        </is>
      </c>
      <c r="G802" s="16" t="inlineStr">
        <is>
          <t>Noida</t>
        </is>
      </c>
      <c r="H802" s="16" t="n">
        <v>1.96</v>
      </c>
      <c r="I802" s="16" t="n">
        <v>540</v>
      </c>
      <c r="J802" s="16" t="n">
        <v>720</v>
      </c>
      <c r="K802" s="18" t="n">
        <v>703.9</v>
      </c>
      <c r="L802" s="18" t="n">
        <v>0</v>
      </c>
      <c r="M802" s="16" t="inlineStr">
        <is>
          <t>Yes</t>
        </is>
      </c>
      <c r="N802" s="17" t="n">
        <v>0</v>
      </c>
      <c r="O802" s="17" t="n">
        <v>0</v>
      </c>
      <c r="P802" s="18" t="n">
        <v>0</v>
      </c>
    </row>
    <row r="803">
      <c r="B803" s="10" t="inlineStr">
        <is>
          <t>DEL</t>
        </is>
      </c>
      <c r="C803" s="10" t="inlineStr">
        <is>
          <t>VEH-DEL-023</t>
        </is>
      </c>
      <c r="D803" s="10" t="n">
        <v>12</v>
      </c>
      <c r="E803" s="10" t="inlineStr">
        <is>
          <t>ORD-DEL-002421</t>
        </is>
      </c>
      <c r="F803" s="10" t="inlineStr">
        <is>
          <t>ECOM_B2C</t>
        </is>
      </c>
      <c r="G803" s="10" t="inlineStr">
        <is>
          <t>Noida</t>
        </is>
      </c>
      <c r="H803" s="10" t="n">
        <v>0.84</v>
      </c>
      <c r="I803" s="10" t="n">
        <v>540</v>
      </c>
      <c r="J803" s="10" t="n">
        <v>720</v>
      </c>
      <c r="K803" s="12" t="n">
        <v>708.6</v>
      </c>
      <c r="L803" s="12" t="n">
        <v>0</v>
      </c>
      <c r="M803" s="10" t="inlineStr">
        <is>
          <t>Yes</t>
        </is>
      </c>
      <c r="N803" s="11" t="n">
        <v>0.212</v>
      </c>
      <c r="O803" s="11" t="n">
        <v>0.286</v>
      </c>
      <c r="P803" s="12" t="n">
        <v>0.6</v>
      </c>
    </row>
    <row r="804">
      <c r="B804" s="16" t="inlineStr">
        <is>
          <t>DEL</t>
        </is>
      </c>
      <c r="C804" s="16" t="inlineStr">
        <is>
          <t>VEH-DEL-023</t>
        </is>
      </c>
      <c r="D804" s="16" t="n">
        <v>13</v>
      </c>
      <c r="E804" s="16" t="inlineStr">
        <is>
          <t>ORD-DEL-002425</t>
        </is>
      </c>
      <c r="F804" s="16" t="inlineStr">
        <is>
          <t>ECOM_B2C</t>
        </is>
      </c>
      <c r="G804" s="16" t="inlineStr">
        <is>
          <t>Noida</t>
        </is>
      </c>
      <c r="H804" s="16" t="n">
        <v>5.17</v>
      </c>
      <c r="I804" s="16" t="n">
        <v>720</v>
      </c>
      <c r="J804" s="16" t="n">
        <v>900</v>
      </c>
      <c r="K804" s="18" t="n">
        <v>713.6</v>
      </c>
      <c r="L804" s="18" t="n">
        <v>0</v>
      </c>
      <c r="M804" s="16" t="inlineStr">
        <is>
          <t>Yes</t>
        </is>
      </c>
      <c r="N804" s="17" t="n">
        <v>0.372</v>
      </c>
      <c r="O804" s="17" t="n">
        <v>0.503</v>
      </c>
      <c r="P804" s="18" t="n">
        <v>1.1</v>
      </c>
    </row>
    <row r="805">
      <c r="B805" s="10" t="inlineStr">
        <is>
          <t>KOL</t>
        </is>
      </c>
      <c r="C805" s="10" t="inlineStr">
        <is>
          <t>VEH-KOL-002</t>
        </is>
      </c>
      <c r="D805" s="10" t="n">
        <v>1</v>
      </c>
      <c r="E805" s="10" t="inlineStr">
        <is>
          <t>ORD-KOL-001377</t>
        </is>
      </c>
      <c r="F805" s="10" t="inlineStr">
        <is>
          <t>ECOM_B2C</t>
        </is>
      </c>
      <c r="G805" s="10" t="inlineStr">
        <is>
          <t>Howrah</t>
        </is>
      </c>
      <c r="H805" s="10" t="n">
        <v>3.59</v>
      </c>
      <c r="I805" s="10" t="n">
        <v>600</v>
      </c>
      <c r="J805" s="10" t="n">
        <v>720</v>
      </c>
      <c r="K805" s="12" t="n">
        <v>600</v>
      </c>
      <c r="L805" s="12" t="n">
        <v>0</v>
      </c>
      <c r="M805" s="10" t="inlineStr">
        <is>
          <t>Yes</t>
        </is>
      </c>
      <c r="N805" s="11" t="n">
        <v>6.05</v>
      </c>
      <c r="O805" s="11" t="n">
        <v>8.167999999999999</v>
      </c>
      <c r="P805" s="12" t="n">
        <v>37.4</v>
      </c>
    </row>
    <row r="806">
      <c r="B806" s="16" t="inlineStr">
        <is>
          <t>KOL</t>
        </is>
      </c>
      <c r="C806" s="16" t="inlineStr">
        <is>
          <t>VEH-KOL-002</t>
        </is>
      </c>
      <c r="D806" s="16" t="n">
        <v>2</v>
      </c>
      <c r="E806" s="16" t="inlineStr">
        <is>
          <t>ORD-KOL-001454</t>
        </is>
      </c>
      <c r="F806" s="16" t="inlineStr">
        <is>
          <t>MODERN_RETAIL</t>
        </is>
      </c>
      <c r="G806" s="16" t="inlineStr">
        <is>
          <t>South Kolkata</t>
        </is>
      </c>
      <c r="H806" s="16" t="n">
        <v>277.78</v>
      </c>
      <c r="I806" s="16" t="n">
        <v>600</v>
      </c>
      <c r="J806" s="16" t="n">
        <v>900</v>
      </c>
      <c r="K806" s="18" t="n">
        <v>682.5</v>
      </c>
      <c r="L806" s="18" t="n">
        <v>0</v>
      </c>
      <c r="M806" s="16" t="inlineStr">
        <is>
          <t>Yes</t>
        </is>
      </c>
      <c r="N806" s="17" t="n">
        <v>13.234</v>
      </c>
      <c r="O806" s="17" t="n">
        <v>17.866</v>
      </c>
      <c r="P806" s="18" t="n">
        <v>78.5</v>
      </c>
    </row>
    <row r="807">
      <c r="B807" s="10" t="inlineStr">
        <is>
          <t>KOL</t>
        </is>
      </c>
      <c r="C807" s="10" t="inlineStr">
        <is>
          <t>VEH-KOL-002</t>
        </is>
      </c>
      <c r="D807" s="10" t="n">
        <v>3</v>
      </c>
      <c r="E807" s="10" t="inlineStr">
        <is>
          <t>ORD-KOL-001466</t>
        </is>
      </c>
      <c r="F807" s="10" t="inlineStr">
        <is>
          <t>MODERN_RETAIL</t>
        </is>
      </c>
      <c r="G807" s="10" t="inlineStr">
        <is>
          <t>South Kolkata</t>
        </is>
      </c>
      <c r="H807" s="10" t="n">
        <v>120.96</v>
      </c>
      <c r="I807" s="10" t="n">
        <v>480</v>
      </c>
      <c r="J807" s="10" t="n">
        <v>720</v>
      </c>
      <c r="K807" s="12" t="n">
        <v>702.2</v>
      </c>
      <c r="L807" s="12" t="n">
        <v>0</v>
      </c>
      <c r="M807" s="10" t="inlineStr">
        <is>
          <t>Yes</t>
        </is>
      </c>
      <c r="N807" s="11" t="n">
        <v>0</v>
      </c>
      <c r="O807" s="11" t="n">
        <v>0</v>
      </c>
      <c r="P807" s="12" t="n">
        <v>0</v>
      </c>
    </row>
    <row r="808">
      <c r="B808" s="16" t="inlineStr">
        <is>
          <t>KOL</t>
        </is>
      </c>
      <c r="C808" s="16" t="inlineStr">
        <is>
          <t>VEH-KOL-002</t>
        </is>
      </c>
      <c r="D808" s="16" t="n">
        <v>4</v>
      </c>
      <c r="E808" s="16" t="inlineStr">
        <is>
          <t>ORD-KOL-001461</t>
        </is>
      </c>
      <c r="F808" s="16" t="inlineStr">
        <is>
          <t>MODERN_RETAIL</t>
        </is>
      </c>
      <c r="G808" s="16" t="inlineStr">
        <is>
          <t>South Kolkata</t>
        </is>
      </c>
      <c r="H808" s="16" t="n">
        <v>132.33</v>
      </c>
      <c r="I808" s="16" t="n">
        <v>480</v>
      </c>
      <c r="J808" s="16" t="n">
        <v>720</v>
      </c>
      <c r="K808" s="18" t="n">
        <v>729.5</v>
      </c>
      <c r="L808" s="18" t="n">
        <v>9.5</v>
      </c>
      <c r="M808" s="16" t="inlineStr">
        <is>
          <t>No</t>
        </is>
      </c>
      <c r="N808" s="17" t="n">
        <v>3.609</v>
      </c>
      <c r="O808" s="17" t="n">
        <v>4.872</v>
      </c>
      <c r="P808" s="18" t="n">
        <v>13.1</v>
      </c>
    </row>
    <row r="809">
      <c r="B809" s="10" t="inlineStr">
        <is>
          <t>KOL</t>
        </is>
      </c>
      <c r="C809" s="10" t="inlineStr">
        <is>
          <t>VEH-KOL-002</t>
        </is>
      </c>
      <c r="D809" s="10" t="n">
        <v>5</v>
      </c>
      <c r="E809" s="10" t="inlineStr">
        <is>
          <t>ORD-KOL-001473</t>
        </is>
      </c>
      <c r="F809" s="10" t="inlineStr">
        <is>
          <t>AUTOMOTIVE</t>
        </is>
      </c>
      <c r="G809" s="10" t="inlineStr">
        <is>
          <t>South Kolkata</t>
        </is>
      </c>
      <c r="H809" s="10" t="n">
        <v>243.17</v>
      </c>
      <c r="I809" s="10" t="n">
        <v>660</v>
      </c>
      <c r="J809" s="10" t="n">
        <v>900</v>
      </c>
      <c r="K809" s="12" t="n">
        <v>746.2</v>
      </c>
      <c r="L809" s="12" t="n">
        <v>0</v>
      </c>
      <c r="M809" s="10" t="inlineStr">
        <is>
          <t>Yes</t>
        </is>
      </c>
      <c r="N809" s="11" t="n">
        <v>0.552</v>
      </c>
      <c r="O809" s="11" t="n">
        <v>0.745</v>
      </c>
      <c r="P809" s="12" t="n">
        <v>2</v>
      </c>
    </row>
    <row r="810">
      <c r="B810" s="16" t="inlineStr">
        <is>
          <t>KOL</t>
        </is>
      </c>
      <c r="C810" s="16" t="inlineStr">
        <is>
          <t>VEH-KOL-002</t>
        </is>
      </c>
      <c r="D810" s="16" t="n">
        <v>6</v>
      </c>
      <c r="E810" s="16" t="inlineStr">
        <is>
          <t>ORD-KOL-001467</t>
        </is>
      </c>
      <c r="F810" s="16" t="inlineStr">
        <is>
          <t>AUTOMOTIVE</t>
        </is>
      </c>
      <c r="G810" s="16" t="inlineStr">
        <is>
          <t>South Kolkata</t>
        </is>
      </c>
      <c r="H810" s="16" t="n">
        <v>41.72</v>
      </c>
      <c r="I810" s="16" t="n">
        <v>660</v>
      </c>
      <c r="J810" s="16" t="n">
        <v>780</v>
      </c>
      <c r="K810" s="18" t="n">
        <v>766.3</v>
      </c>
      <c r="L810" s="18" t="n">
        <v>0</v>
      </c>
      <c r="M810" s="16" t="inlineStr">
        <is>
          <t>Yes</t>
        </is>
      </c>
      <c r="N810" s="17" t="n">
        <v>0.451</v>
      </c>
      <c r="O810" s="17" t="n">
        <v>0.609</v>
      </c>
      <c r="P810" s="18" t="n">
        <v>1.6</v>
      </c>
    </row>
    <row r="811">
      <c r="B811" s="10" t="inlineStr">
        <is>
          <t>KOL</t>
        </is>
      </c>
      <c r="C811" s="10" t="inlineStr">
        <is>
          <t>VEH-KOL-002</t>
        </is>
      </c>
      <c r="D811" s="10" t="n">
        <v>7</v>
      </c>
      <c r="E811" s="10" t="inlineStr">
        <is>
          <t>ORD-KOL-001460</t>
        </is>
      </c>
      <c r="F811" s="10" t="inlineStr">
        <is>
          <t>MODERN_RETAIL</t>
        </is>
      </c>
      <c r="G811" s="10" t="inlineStr">
        <is>
          <t>South Kolkata</t>
        </is>
      </c>
      <c r="H811" s="10" t="n">
        <v>198.82</v>
      </c>
      <c r="I811" s="10" t="n">
        <v>600</v>
      </c>
      <c r="J811" s="10" t="n">
        <v>900</v>
      </c>
      <c r="K811" s="12" t="n">
        <v>780.5</v>
      </c>
      <c r="L811" s="12" t="n">
        <v>0</v>
      </c>
      <c r="M811" s="10" t="inlineStr">
        <is>
          <t>Yes</t>
        </is>
      </c>
      <c r="N811" s="11" t="n">
        <v>0.753</v>
      </c>
      <c r="O811" s="11" t="n">
        <v>1.017</v>
      </c>
      <c r="P811" s="12" t="n">
        <v>2.7</v>
      </c>
    </row>
    <row r="812">
      <c r="B812" s="16" t="inlineStr">
        <is>
          <t>KOL</t>
        </is>
      </c>
      <c r="C812" s="16" t="inlineStr">
        <is>
          <t>VEH-KOL-002</t>
        </is>
      </c>
      <c r="D812" s="16" t="n">
        <v>8</v>
      </c>
      <c r="E812" s="16" t="inlineStr">
        <is>
          <t>ORD-KOL-001465</t>
        </is>
      </c>
      <c r="F812" s="16" t="inlineStr">
        <is>
          <t>MODERN_RETAIL</t>
        </is>
      </c>
      <c r="G812" s="16" t="inlineStr">
        <is>
          <t>South Kolkata</t>
        </is>
      </c>
      <c r="H812" s="16" t="n">
        <v>487.64</v>
      </c>
      <c r="I812" s="16" t="n">
        <v>840</v>
      </c>
      <c r="J812" s="16" t="n">
        <v>1080</v>
      </c>
      <c r="K812" s="18" t="n">
        <v>799.9</v>
      </c>
      <c r="L812" s="18" t="n">
        <v>0</v>
      </c>
      <c r="M812" s="16" t="inlineStr">
        <is>
          <t>Yes</t>
        </is>
      </c>
      <c r="N812" s="17" t="n">
        <v>0.668</v>
      </c>
      <c r="O812" s="17" t="n">
        <v>0.902</v>
      </c>
      <c r="P812" s="18" t="n">
        <v>2.4</v>
      </c>
    </row>
    <row r="813">
      <c r="B813" s="10" t="inlineStr">
        <is>
          <t>KOL</t>
        </is>
      </c>
      <c r="C813" s="10" t="inlineStr">
        <is>
          <t>VEH-KOL-002</t>
        </is>
      </c>
      <c r="D813" s="10" t="n">
        <v>9</v>
      </c>
      <c r="E813" s="10" t="inlineStr">
        <is>
          <t>ORD-KOL-001455</t>
        </is>
      </c>
      <c r="F813" s="10" t="inlineStr">
        <is>
          <t>MODERN_RETAIL</t>
        </is>
      </c>
      <c r="G813" s="10" t="inlineStr">
        <is>
          <t>East Kolkata</t>
        </is>
      </c>
      <c r="H813" s="10" t="n">
        <v>170.21</v>
      </c>
      <c r="I813" s="10" t="n">
        <v>840</v>
      </c>
      <c r="J813" s="10" t="n">
        <v>1080</v>
      </c>
      <c r="K813" s="12" t="n">
        <v>879.5</v>
      </c>
      <c r="L813" s="12" t="n">
        <v>0</v>
      </c>
      <c r="M813" s="10" t="inlineStr">
        <is>
          <t>Yes</t>
        </is>
      </c>
      <c r="N813" s="11" t="n">
        <v>3.484</v>
      </c>
      <c r="O813" s="11" t="n">
        <v>4.703</v>
      </c>
      <c r="P813" s="12" t="n">
        <v>12.4</v>
      </c>
    </row>
    <row r="814">
      <c r="B814" s="16" t="inlineStr">
        <is>
          <t>KOL</t>
        </is>
      </c>
      <c r="C814" s="16" t="inlineStr">
        <is>
          <t>VEH-KOL-002</t>
        </is>
      </c>
      <c r="D814" s="16" t="n">
        <v>10</v>
      </c>
      <c r="E814" s="16" t="inlineStr">
        <is>
          <t>ORD-KOL-001474</t>
        </is>
      </c>
      <c r="F814" s="16" t="inlineStr">
        <is>
          <t>AUTOMOTIVE</t>
        </is>
      </c>
      <c r="G814" s="16" t="inlineStr">
        <is>
          <t>East Kolkata</t>
        </is>
      </c>
      <c r="H814" s="16" t="n">
        <v>173.38</v>
      </c>
      <c r="I814" s="16" t="n">
        <v>840</v>
      </c>
      <c r="J814" s="16" t="n">
        <v>960</v>
      </c>
      <c r="K814" s="18" t="n">
        <v>918.9</v>
      </c>
      <c r="L814" s="18" t="n">
        <v>0</v>
      </c>
      <c r="M814" s="16" t="inlineStr">
        <is>
          <t>Yes</t>
        </is>
      </c>
      <c r="N814" s="17" t="n">
        <v>6.58</v>
      </c>
      <c r="O814" s="17" t="n">
        <v>8.882999999999999</v>
      </c>
      <c r="P814" s="18" t="n">
        <v>23.4</v>
      </c>
    </row>
    <row r="815">
      <c r="B815" s="10" t="inlineStr">
        <is>
          <t>KOL</t>
        </is>
      </c>
      <c r="C815" s="10" t="inlineStr">
        <is>
          <t>VEH-KOL-007</t>
        </is>
      </c>
      <c r="D815" s="10" t="n">
        <v>1</v>
      </c>
      <c r="E815" s="10" t="inlineStr">
        <is>
          <t>ORD-KOL-001333</t>
        </is>
      </c>
      <c r="F815" s="10" t="inlineStr">
        <is>
          <t>ECOM_B2C</t>
        </is>
      </c>
      <c r="G815" s="10" t="inlineStr">
        <is>
          <t>Howrah</t>
        </is>
      </c>
      <c r="H815" s="10" t="n">
        <v>3.1</v>
      </c>
      <c r="I815" s="10" t="n">
        <v>540</v>
      </c>
      <c r="J815" s="10" t="n">
        <v>720</v>
      </c>
      <c r="K815" s="12" t="n">
        <v>540</v>
      </c>
      <c r="L815" s="12" t="n">
        <v>0</v>
      </c>
      <c r="M815" s="10" t="inlineStr">
        <is>
          <t>Yes</t>
        </is>
      </c>
      <c r="N815" s="11" t="n">
        <v>5.696</v>
      </c>
      <c r="O815" s="11" t="n">
        <v>7.689</v>
      </c>
      <c r="P815" s="12" t="n">
        <v>32.7</v>
      </c>
    </row>
    <row r="816">
      <c r="B816" s="16" t="inlineStr">
        <is>
          <t>KOL</t>
        </is>
      </c>
      <c r="C816" s="16" t="inlineStr">
        <is>
          <t>VEH-KOL-007</t>
        </is>
      </c>
      <c r="D816" s="16" t="n">
        <v>2</v>
      </c>
      <c r="E816" s="16" t="inlineStr">
        <is>
          <t>ORD-KOL-001477</t>
        </is>
      </c>
      <c r="F816" s="16" t="inlineStr">
        <is>
          <t>AUTOMOTIVE</t>
        </is>
      </c>
      <c r="G816" s="16" t="inlineStr">
        <is>
          <t>Central Kolkata</t>
        </is>
      </c>
      <c r="H816" s="16" t="n">
        <v>65.06</v>
      </c>
      <c r="I816" s="16" t="n">
        <v>480</v>
      </c>
      <c r="J816" s="16" t="n">
        <v>600</v>
      </c>
      <c r="K816" s="18" t="n">
        <v>587.2</v>
      </c>
      <c r="L816" s="18" t="n">
        <v>0</v>
      </c>
      <c r="M816" s="16" t="inlineStr">
        <is>
          <t>Yes</t>
        </is>
      </c>
      <c r="N816" s="17" t="n">
        <v>7.699</v>
      </c>
      <c r="O816" s="17" t="n">
        <v>10.393</v>
      </c>
      <c r="P816" s="18" t="n">
        <v>43.2</v>
      </c>
    </row>
    <row r="817">
      <c r="B817" s="10" t="inlineStr">
        <is>
          <t>KOL</t>
        </is>
      </c>
      <c r="C817" s="10" t="inlineStr">
        <is>
          <t>VEH-KOL-007</t>
        </is>
      </c>
      <c r="D817" s="10" t="n">
        <v>3</v>
      </c>
      <c r="E817" s="10" t="inlineStr">
        <is>
          <t>ORD-KOL-001452</t>
        </is>
      </c>
      <c r="F817" s="10" t="inlineStr">
        <is>
          <t>MODERN_RETAIL</t>
        </is>
      </c>
      <c r="G817" s="10" t="inlineStr">
        <is>
          <t>Central Kolkata</t>
        </is>
      </c>
      <c r="H817" s="10" t="n">
        <v>136.59</v>
      </c>
      <c r="I817" s="10" t="n">
        <v>480</v>
      </c>
      <c r="J817" s="10" t="n">
        <v>720</v>
      </c>
      <c r="K817" s="12" t="n">
        <v>604.6</v>
      </c>
      <c r="L817" s="12" t="n">
        <v>0</v>
      </c>
      <c r="M817" s="10" t="inlineStr">
        <is>
          <t>Yes</t>
        </is>
      </c>
      <c r="N817" s="11" t="n">
        <v>0.917</v>
      </c>
      <c r="O817" s="11" t="n">
        <v>1.238</v>
      </c>
      <c r="P817" s="12" t="n">
        <v>5.1</v>
      </c>
    </row>
    <row r="818">
      <c r="B818" s="16" t="inlineStr">
        <is>
          <t>KOL</t>
        </is>
      </c>
      <c r="C818" s="16" t="inlineStr">
        <is>
          <t>VEH-KOL-007</t>
        </is>
      </c>
      <c r="D818" s="16" t="n">
        <v>4</v>
      </c>
      <c r="E818" s="16" t="inlineStr">
        <is>
          <t>ORD-KOL-001458</t>
        </is>
      </c>
      <c r="F818" s="16" t="inlineStr">
        <is>
          <t>MODERN_RETAIL</t>
        </is>
      </c>
      <c r="G818" s="16" t="inlineStr">
        <is>
          <t>East Kolkata</t>
        </is>
      </c>
      <c r="H818" s="16" t="n">
        <v>207.81</v>
      </c>
      <c r="I818" s="16" t="n">
        <v>480</v>
      </c>
      <c r="J818" s="16" t="n">
        <v>720</v>
      </c>
      <c r="K818" s="18" t="n">
        <v>655.2</v>
      </c>
      <c r="L818" s="18" t="n">
        <v>0</v>
      </c>
      <c r="M818" s="16" t="inlineStr">
        <is>
          <t>Yes</t>
        </is>
      </c>
      <c r="N818" s="17" t="n">
        <v>6.616</v>
      </c>
      <c r="O818" s="17" t="n">
        <v>8.932</v>
      </c>
      <c r="P818" s="18" t="n">
        <v>35.8</v>
      </c>
    </row>
    <row r="819">
      <c r="B819" s="10" t="inlineStr">
        <is>
          <t>KOL</t>
        </is>
      </c>
      <c r="C819" s="10" t="inlineStr">
        <is>
          <t>VEH-KOL-007</t>
        </is>
      </c>
      <c r="D819" s="10" t="n">
        <v>5</v>
      </c>
      <c r="E819" s="10" t="inlineStr">
        <is>
          <t>ORD-KOL-001462</t>
        </is>
      </c>
      <c r="F819" s="10" t="inlineStr">
        <is>
          <t>MODERN_RETAIL</t>
        </is>
      </c>
      <c r="G819" s="10" t="inlineStr">
        <is>
          <t>East Kolkata</t>
        </is>
      </c>
      <c r="H819" s="10" t="n">
        <v>155.57</v>
      </c>
      <c r="I819" s="10" t="n">
        <v>480</v>
      </c>
      <c r="J819" s="10" t="n">
        <v>720</v>
      </c>
      <c r="K819" s="12" t="n">
        <v>672.4</v>
      </c>
      <c r="L819" s="12" t="n">
        <v>0</v>
      </c>
      <c r="M819" s="10" t="inlineStr">
        <is>
          <t>Yes</t>
        </is>
      </c>
      <c r="N819" s="11" t="n">
        <v>0</v>
      </c>
      <c r="O819" s="11" t="n">
        <v>0</v>
      </c>
      <c r="P819" s="12" t="n">
        <v>0</v>
      </c>
    </row>
    <row r="820">
      <c r="B820" s="16" t="inlineStr">
        <is>
          <t>KOL</t>
        </is>
      </c>
      <c r="C820" s="16" t="inlineStr">
        <is>
          <t>VEH-KOL-007</t>
        </is>
      </c>
      <c r="D820" s="16" t="n">
        <v>6</v>
      </c>
      <c r="E820" s="16" t="inlineStr">
        <is>
          <t>ORD-KOL-001464</t>
        </is>
      </c>
      <c r="F820" s="16" t="inlineStr">
        <is>
          <t>MODERN_RETAIL</t>
        </is>
      </c>
      <c r="G820" s="16" t="inlineStr">
        <is>
          <t>East Kolkata</t>
        </is>
      </c>
      <c r="H820" s="16" t="n">
        <v>104.57</v>
      </c>
      <c r="I820" s="16" t="n">
        <v>600</v>
      </c>
      <c r="J820" s="16" t="n">
        <v>900</v>
      </c>
      <c r="K820" s="18" t="n">
        <v>687.9</v>
      </c>
      <c r="L820" s="18" t="n">
        <v>0</v>
      </c>
      <c r="M820" s="16" t="inlineStr">
        <is>
          <t>Yes</t>
        </is>
      </c>
      <c r="N820" s="17" t="n">
        <v>0</v>
      </c>
      <c r="O820" s="17" t="n">
        <v>0</v>
      </c>
      <c r="P820" s="18" t="n">
        <v>0</v>
      </c>
    </row>
    <row r="821">
      <c r="B821" s="10" t="inlineStr">
        <is>
          <t>KOL</t>
        </is>
      </c>
      <c r="C821" s="10" t="inlineStr">
        <is>
          <t>VEH-KOL-007</t>
        </is>
      </c>
      <c r="D821" s="10" t="n">
        <v>7</v>
      </c>
      <c r="E821" s="10" t="inlineStr">
        <is>
          <t>ORD-KOL-001472</t>
        </is>
      </c>
      <c r="F821" s="10" t="inlineStr">
        <is>
          <t>AUTOMOTIVE</t>
        </is>
      </c>
      <c r="G821" s="10" t="inlineStr">
        <is>
          <t>Howrah</t>
        </is>
      </c>
      <c r="H821" s="10" t="n">
        <v>119.23</v>
      </c>
      <c r="I821" s="10" t="n">
        <v>660</v>
      </c>
      <c r="J821" s="10" t="n">
        <v>780</v>
      </c>
      <c r="K821" s="12" t="n">
        <v>736.6</v>
      </c>
      <c r="L821" s="12" t="n">
        <v>0</v>
      </c>
      <c r="M821" s="10" t="inlineStr">
        <is>
          <t>Yes</t>
        </is>
      </c>
      <c r="N821" s="11" t="n">
        <v>10.015</v>
      </c>
      <c r="O821" s="11" t="n">
        <v>13.52</v>
      </c>
      <c r="P821" s="12" t="n">
        <v>35.1</v>
      </c>
    </row>
    <row r="822">
      <c r="B822" s="16" t="inlineStr">
        <is>
          <t>KOL</t>
        </is>
      </c>
      <c r="C822" s="16" t="inlineStr">
        <is>
          <t>VEH-KOL-008</t>
        </is>
      </c>
      <c r="D822" s="16" t="n">
        <v>1</v>
      </c>
      <c r="E822" s="16" t="inlineStr">
        <is>
          <t>ORD-KOL-001476</t>
        </is>
      </c>
      <c r="F822" s="16" t="inlineStr">
        <is>
          <t>AUTOMOTIVE</t>
        </is>
      </c>
      <c r="G822" s="16" t="inlineStr">
        <is>
          <t>East Kolkata</t>
        </is>
      </c>
      <c r="H822" s="16" t="n">
        <v>50.89</v>
      </c>
      <c r="I822" s="16" t="n">
        <v>480</v>
      </c>
      <c r="J822" s="16" t="n">
        <v>600</v>
      </c>
      <c r="K822" s="18" t="n">
        <v>471.2</v>
      </c>
      <c r="L822" s="18" t="n">
        <v>0</v>
      </c>
      <c r="M822" s="16" t="inlineStr">
        <is>
          <t>Yes</t>
        </is>
      </c>
      <c r="N822" s="17" t="n">
        <v>17.045</v>
      </c>
      <c r="O822" s="17" t="n">
        <v>23.011</v>
      </c>
      <c r="P822" s="18" t="n">
        <v>51.2</v>
      </c>
    </row>
    <row r="823">
      <c r="B823" s="10" t="inlineStr">
        <is>
          <t>KOL</t>
        </is>
      </c>
      <c r="C823" s="10" t="inlineStr">
        <is>
          <t>VEH-KOL-008</t>
        </is>
      </c>
      <c r="D823" s="10" t="n">
        <v>2</v>
      </c>
      <c r="E823" s="10" t="inlineStr">
        <is>
          <t>ORD-KOL-001471</t>
        </is>
      </c>
      <c r="F823" s="10" t="inlineStr">
        <is>
          <t>AUTOMOTIVE</t>
        </is>
      </c>
      <c r="G823" s="10" t="inlineStr">
        <is>
          <t>East Kolkata</t>
        </is>
      </c>
      <c r="H823" s="10" t="n">
        <v>124.67</v>
      </c>
      <c r="I823" s="10" t="n">
        <v>480</v>
      </c>
      <c r="J823" s="10" t="n">
        <v>720</v>
      </c>
      <c r="K823" s="12" t="n">
        <v>512.9</v>
      </c>
      <c r="L823" s="12" t="n">
        <v>0</v>
      </c>
      <c r="M823" s="10" t="inlineStr">
        <is>
          <t>Yes</t>
        </is>
      </c>
      <c r="N823" s="11" t="n">
        <v>3.898</v>
      </c>
      <c r="O823" s="11" t="n">
        <v>5.262</v>
      </c>
      <c r="P823" s="12" t="n">
        <v>21.1</v>
      </c>
    </row>
    <row r="824">
      <c r="B824" s="16" t="inlineStr">
        <is>
          <t>KOL</t>
        </is>
      </c>
      <c r="C824" s="16" t="inlineStr">
        <is>
          <t>VEH-KOL-008</t>
        </is>
      </c>
      <c r="D824" s="16" t="n">
        <v>3</v>
      </c>
      <c r="E824" s="16" t="inlineStr">
        <is>
          <t>ORD-KOL-001453</t>
        </is>
      </c>
      <c r="F824" s="16" t="inlineStr">
        <is>
          <t>MODERN_RETAIL</t>
        </is>
      </c>
      <c r="G824" s="16" t="inlineStr">
        <is>
          <t>East Kolkata</t>
        </is>
      </c>
      <c r="H824" s="16" t="n">
        <v>184.38</v>
      </c>
      <c r="I824" s="16" t="n">
        <v>600</v>
      </c>
      <c r="J824" s="16" t="n">
        <v>900</v>
      </c>
      <c r="K824" s="18" t="n">
        <v>555.4</v>
      </c>
      <c r="L824" s="18" t="n">
        <v>0</v>
      </c>
      <c r="M824" s="16" t="inlineStr">
        <is>
          <t>Yes</t>
        </is>
      </c>
      <c r="N824" s="17" t="n">
        <v>5.199</v>
      </c>
      <c r="O824" s="17" t="n">
        <v>7.019</v>
      </c>
      <c r="P824" s="18" t="n">
        <v>28.1</v>
      </c>
    </row>
    <row r="825">
      <c r="B825" s="10" t="inlineStr">
        <is>
          <t>KOL</t>
        </is>
      </c>
      <c r="C825" s="10" t="inlineStr">
        <is>
          <t>VEH-KOL-008</t>
        </is>
      </c>
      <c r="D825" s="10" t="n">
        <v>4</v>
      </c>
      <c r="E825" s="10" t="inlineStr">
        <is>
          <t>ORD-KOL-001470</t>
        </is>
      </c>
      <c r="F825" s="10" t="inlineStr">
        <is>
          <t>AUTOMOTIVE</t>
        </is>
      </c>
      <c r="G825" s="10" t="inlineStr">
        <is>
          <t>North Kolkata</t>
        </is>
      </c>
      <c r="H825" s="10" t="n">
        <v>146.03</v>
      </c>
      <c r="I825" s="10" t="n">
        <v>660</v>
      </c>
      <c r="J825" s="10" t="n">
        <v>900</v>
      </c>
      <c r="K825" s="12" t="n">
        <v>643.2</v>
      </c>
      <c r="L825" s="12" t="n">
        <v>0</v>
      </c>
      <c r="M825" s="10" t="inlineStr">
        <is>
          <t>Yes</t>
        </is>
      </c>
      <c r="N825" s="11" t="n">
        <v>4.893</v>
      </c>
      <c r="O825" s="11" t="n">
        <v>6.605</v>
      </c>
      <c r="P825" s="12" t="n">
        <v>26.8</v>
      </c>
    </row>
    <row r="826">
      <c r="B826" s="16" t="inlineStr">
        <is>
          <t>KOL</t>
        </is>
      </c>
      <c r="C826" s="16" t="inlineStr">
        <is>
          <t>VEH-KOL-008</t>
        </is>
      </c>
      <c r="D826" s="16" t="n">
        <v>5</v>
      </c>
      <c r="E826" s="16" t="inlineStr">
        <is>
          <t>ORD-KOL-001475</t>
        </is>
      </c>
      <c r="F826" s="16" t="inlineStr">
        <is>
          <t>AUTOMOTIVE</t>
        </is>
      </c>
      <c r="G826" s="16" t="inlineStr">
        <is>
          <t>North Kolkata</t>
        </is>
      </c>
      <c r="H826" s="16" t="n">
        <v>479.87</v>
      </c>
      <c r="I826" s="16" t="n">
        <v>660</v>
      </c>
      <c r="J826" s="16" t="n">
        <v>780</v>
      </c>
      <c r="K826" s="18" t="n">
        <v>677.1</v>
      </c>
      <c r="L826" s="18" t="n">
        <v>0</v>
      </c>
      <c r="M826" s="16" t="inlineStr">
        <is>
          <t>Yes</t>
        </is>
      </c>
      <c r="N826" s="17" t="n">
        <v>0.587</v>
      </c>
      <c r="O826" s="17" t="n">
        <v>0.793</v>
      </c>
      <c r="P826" s="18" t="n">
        <v>2</v>
      </c>
    </row>
    <row r="827">
      <c r="B827" s="10" t="inlineStr">
        <is>
          <t>KOL</t>
        </is>
      </c>
      <c r="C827" s="10" t="inlineStr">
        <is>
          <t>VEH-KOL-010</t>
        </is>
      </c>
      <c r="D827" s="10" t="n">
        <v>1</v>
      </c>
      <c r="E827" s="10" t="inlineStr">
        <is>
          <t>ORD-KOL-001412</t>
        </is>
      </c>
      <c r="F827" s="10" t="inlineStr">
        <is>
          <t>ECOM_B2C</t>
        </is>
      </c>
      <c r="G827" s="10" t="inlineStr">
        <is>
          <t>Howrah</t>
        </is>
      </c>
      <c r="H827" s="10" t="n">
        <v>3.1</v>
      </c>
      <c r="I827" s="10" t="n">
        <v>720</v>
      </c>
      <c r="J827" s="10" t="n">
        <v>900</v>
      </c>
      <c r="K827" s="12" t="n">
        <v>720</v>
      </c>
      <c r="L827" s="12" t="n">
        <v>0</v>
      </c>
      <c r="M827" s="10" t="inlineStr">
        <is>
          <t>Yes</t>
        </is>
      </c>
      <c r="N827" s="11" t="n">
        <v>5.747</v>
      </c>
      <c r="O827" s="11" t="n">
        <v>7.759</v>
      </c>
      <c r="P827" s="12" t="n">
        <v>20.1</v>
      </c>
    </row>
    <row r="828">
      <c r="B828" s="16" t="inlineStr">
        <is>
          <t>KOL</t>
        </is>
      </c>
      <c r="C828" s="16" t="inlineStr">
        <is>
          <t>VEH-KOL-010</t>
        </is>
      </c>
      <c r="D828" s="16" t="n">
        <v>2</v>
      </c>
      <c r="E828" s="16" t="inlineStr">
        <is>
          <t>ORD-KOL-001459</t>
        </is>
      </c>
      <c r="F828" s="16" t="inlineStr">
        <is>
          <t>MODERN_RETAIL</t>
        </is>
      </c>
      <c r="G828" s="16" t="inlineStr">
        <is>
          <t>North Kolkata</t>
        </is>
      </c>
      <c r="H828" s="16" t="n">
        <v>156.03</v>
      </c>
      <c r="I828" s="16" t="n">
        <v>600</v>
      </c>
      <c r="J828" s="16" t="n">
        <v>900</v>
      </c>
      <c r="K828" s="18" t="n">
        <v>742</v>
      </c>
      <c r="L828" s="18" t="n">
        <v>0</v>
      </c>
      <c r="M828" s="16" t="inlineStr">
        <is>
          <t>Yes</t>
        </is>
      </c>
      <c r="N828" s="17" t="n">
        <v>5.383</v>
      </c>
      <c r="O828" s="17" t="n">
        <v>7.267</v>
      </c>
      <c r="P828" s="18" t="n">
        <v>18</v>
      </c>
    </row>
    <row r="829">
      <c r="B829" s="10" t="inlineStr">
        <is>
          <t>KOL</t>
        </is>
      </c>
      <c r="C829" s="10" t="inlineStr">
        <is>
          <t>VEH-KOL-010</t>
        </is>
      </c>
      <c r="D829" s="10" t="n">
        <v>3</v>
      </c>
      <c r="E829" s="10" t="inlineStr">
        <is>
          <t>ORD-KOL-001468</t>
        </is>
      </c>
      <c r="F829" s="10" t="inlineStr">
        <is>
          <t>AUTOMOTIVE</t>
        </is>
      </c>
      <c r="G829" s="10" t="inlineStr">
        <is>
          <t>North Kolkata</t>
        </is>
      </c>
      <c r="H829" s="10" t="n">
        <v>118.47</v>
      </c>
      <c r="I829" s="10" t="n">
        <v>840</v>
      </c>
      <c r="J829" s="10" t="n">
        <v>960</v>
      </c>
      <c r="K829" s="12" t="n">
        <v>762.4</v>
      </c>
      <c r="L829" s="12" t="n">
        <v>0</v>
      </c>
      <c r="M829" s="10" t="inlineStr">
        <is>
          <t>Yes</t>
        </is>
      </c>
      <c r="N829" s="11" t="n">
        <v>1.464</v>
      </c>
      <c r="O829" s="11" t="n">
        <v>1.977</v>
      </c>
      <c r="P829" s="12" t="n">
        <v>4.9</v>
      </c>
    </row>
    <row r="830">
      <c r="B830" s="16" t="inlineStr">
        <is>
          <t>KOL</t>
        </is>
      </c>
      <c r="C830" s="16" t="inlineStr">
        <is>
          <t>VEH-KOL-010</t>
        </is>
      </c>
      <c r="D830" s="16" t="n">
        <v>4</v>
      </c>
      <c r="E830" s="16" t="inlineStr">
        <is>
          <t>ORD-KOL-001457</t>
        </is>
      </c>
      <c r="F830" s="16" t="inlineStr">
        <is>
          <t>MODERN_RETAIL</t>
        </is>
      </c>
      <c r="G830" s="16" t="inlineStr">
        <is>
          <t>Central Kolkata</t>
        </is>
      </c>
      <c r="H830" s="16" t="n">
        <v>120.47</v>
      </c>
      <c r="I830" s="16" t="n">
        <v>840</v>
      </c>
      <c r="J830" s="16" t="n">
        <v>1080</v>
      </c>
      <c r="K830" s="18" t="n">
        <v>866.3</v>
      </c>
      <c r="L830" s="18" t="n">
        <v>0</v>
      </c>
      <c r="M830" s="16" t="inlineStr">
        <is>
          <t>Yes</t>
        </is>
      </c>
      <c r="N830" s="17" t="n">
        <v>3.539</v>
      </c>
      <c r="O830" s="17" t="n">
        <v>4.778</v>
      </c>
      <c r="P830" s="18" t="n">
        <v>12.1</v>
      </c>
    </row>
    <row r="831">
      <c r="B831" s="10" t="inlineStr">
        <is>
          <t>KOL</t>
        </is>
      </c>
      <c r="C831" s="10" t="inlineStr">
        <is>
          <t>VEH-KOL-010</t>
        </is>
      </c>
      <c r="D831" s="10" t="n">
        <v>5</v>
      </c>
      <c r="E831" s="10" t="inlineStr">
        <is>
          <t>ORD-KOL-001463</t>
        </is>
      </c>
      <c r="F831" s="10" t="inlineStr">
        <is>
          <t>MODERN_RETAIL</t>
        </is>
      </c>
      <c r="G831" s="10" t="inlineStr">
        <is>
          <t>Central Kolkata</t>
        </is>
      </c>
      <c r="H831" s="10" t="n">
        <v>226.39</v>
      </c>
      <c r="I831" s="10" t="n">
        <v>840</v>
      </c>
      <c r="J831" s="10" t="n">
        <v>1080</v>
      </c>
      <c r="K831" s="12" t="n">
        <v>884</v>
      </c>
      <c r="L831" s="12" t="n">
        <v>0</v>
      </c>
      <c r="M831" s="10" t="inlineStr">
        <is>
          <t>Yes</t>
        </is>
      </c>
      <c r="N831" s="11" t="n">
        <v>1.026</v>
      </c>
      <c r="O831" s="11" t="n">
        <v>1.385</v>
      </c>
      <c r="P831" s="12" t="n">
        <v>3.5</v>
      </c>
    </row>
    <row r="832">
      <c r="B832" s="16" t="inlineStr">
        <is>
          <t>KOL</t>
        </is>
      </c>
      <c r="C832" s="16" t="inlineStr">
        <is>
          <t>VEH-KOL-010</t>
        </is>
      </c>
      <c r="D832" s="16" t="n">
        <v>6</v>
      </c>
      <c r="E832" s="16" t="inlineStr">
        <is>
          <t>ORD-KOL-001469</t>
        </is>
      </c>
      <c r="F832" s="16" t="inlineStr">
        <is>
          <t>AUTOMOTIVE</t>
        </is>
      </c>
      <c r="G832" s="16" t="inlineStr">
        <is>
          <t>North Kolkata</t>
        </is>
      </c>
      <c r="H832" s="16" t="n">
        <v>157.59</v>
      </c>
      <c r="I832" s="16" t="n">
        <v>840</v>
      </c>
      <c r="J832" s="16" t="n">
        <v>1080</v>
      </c>
      <c r="K832" s="18" t="n">
        <v>923.8</v>
      </c>
      <c r="L832" s="18" t="n">
        <v>0</v>
      </c>
      <c r="M832" s="16" t="inlineStr">
        <is>
          <t>Yes</t>
        </is>
      </c>
      <c r="N832" s="17" t="n">
        <v>6.539</v>
      </c>
      <c r="O832" s="17" t="n">
        <v>8.827999999999999</v>
      </c>
      <c r="P832" s="18" t="n">
        <v>21.9</v>
      </c>
    </row>
    <row r="833">
      <c r="B833" s="10" t="inlineStr">
        <is>
          <t>KOL</t>
        </is>
      </c>
      <c r="C833" s="10" t="inlineStr">
        <is>
          <t>VEH-KOL-010</t>
        </is>
      </c>
      <c r="D833" s="10" t="n">
        <v>7</v>
      </c>
      <c r="E833" s="10" t="inlineStr">
        <is>
          <t>ORD-KOL-001456</t>
        </is>
      </c>
      <c r="F833" s="10" t="inlineStr">
        <is>
          <t>MODERN_RETAIL</t>
        </is>
      </c>
      <c r="G833" s="10" t="inlineStr">
        <is>
          <t>East Kolkata</t>
        </is>
      </c>
      <c r="H833" s="10" t="n">
        <v>176.98</v>
      </c>
      <c r="I833" s="10" t="n">
        <v>840</v>
      </c>
      <c r="J833" s="10" t="n">
        <v>1080</v>
      </c>
      <c r="K833" s="12" t="n">
        <v>961.4</v>
      </c>
      <c r="L833" s="12" t="n">
        <v>0</v>
      </c>
      <c r="M833" s="10" t="inlineStr">
        <is>
          <t>Yes</t>
        </is>
      </c>
      <c r="N833" s="11" t="n">
        <v>6.676</v>
      </c>
      <c r="O833" s="11" t="n">
        <v>9.012</v>
      </c>
      <c r="P833" s="12" t="n">
        <v>22.1</v>
      </c>
    </row>
    <row r="834">
      <c r="B834" s="16" t="inlineStr">
        <is>
          <t>KOL</t>
        </is>
      </c>
      <c r="C834" s="16" t="inlineStr">
        <is>
          <t>VEH-KOL-010</t>
        </is>
      </c>
      <c r="D834" s="16" t="n">
        <v>8</v>
      </c>
      <c r="E834" s="16" t="inlineStr">
        <is>
          <t>ORD-KOL-001409</t>
        </is>
      </c>
      <c r="F834" s="16" t="inlineStr">
        <is>
          <t>ECOM_B2C</t>
        </is>
      </c>
      <c r="G834" s="16" t="inlineStr">
        <is>
          <t>North Kolkata</t>
        </is>
      </c>
      <c r="H834" s="16" t="n">
        <v>6.4</v>
      </c>
      <c r="I834" s="16" t="n">
        <v>900</v>
      </c>
      <c r="J834" s="16" t="n">
        <v>1080</v>
      </c>
      <c r="K834" s="18" t="n">
        <v>1008.7</v>
      </c>
      <c r="L834" s="18" t="n">
        <v>0</v>
      </c>
      <c r="M834" s="16" t="inlineStr">
        <is>
          <t>Yes</t>
        </is>
      </c>
      <c r="N834" s="17" t="n">
        <v>9.276</v>
      </c>
      <c r="O834" s="17" t="n">
        <v>12.522</v>
      </c>
      <c r="P834" s="18" t="n">
        <v>31</v>
      </c>
    </row>
    <row r="835">
      <c r="B835" s="10" t="inlineStr">
        <is>
          <t>KOL</t>
        </is>
      </c>
      <c r="C835" s="10" t="inlineStr">
        <is>
          <t>VEH-KOL-010</t>
        </is>
      </c>
      <c r="D835" s="10" t="n">
        <v>9</v>
      </c>
      <c r="E835" s="10" t="inlineStr">
        <is>
          <t>ORD-KOL-001355</t>
        </is>
      </c>
      <c r="F835" s="10" t="inlineStr">
        <is>
          <t>ECOM_B2C</t>
        </is>
      </c>
      <c r="G835" s="10" t="inlineStr">
        <is>
          <t>North Kolkata</t>
        </is>
      </c>
      <c r="H835" s="10" t="n">
        <v>1.85</v>
      </c>
      <c r="I835" s="10" t="n">
        <v>1080</v>
      </c>
      <c r="J835" s="10" t="n">
        <v>1260</v>
      </c>
      <c r="K835" s="12" t="n">
        <v>1016.2</v>
      </c>
      <c r="L835" s="12" t="n">
        <v>0</v>
      </c>
      <c r="M835" s="10" t="inlineStr">
        <is>
          <t>Yes</t>
        </is>
      </c>
      <c r="N835" s="11" t="n">
        <v>1.065</v>
      </c>
      <c r="O835" s="11" t="n">
        <v>1.437</v>
      </c>
      <c r="P835" s="12" t="n">
        <v>3.6</v>
      </c>
    </row>
    <row r="836">
      <c r="B836" s="16" t="inlineStr">
        <is>
          <t>KOL</t>
        </is>
      </c>
      <c r="C836" s="16" t="inlineStr">
        <is>
          <t>VEH-KOL-010</t>
        </is>
      </c>
      <c r="D836" s="16" t="n">
        <v>10</v>
      </c>
      <c r="E836" s="16" t="inlineStr">
        <is>
          <t>ORD-KOL-001335</t>
        </is>
      </c>
      <c r="F836" s="16" t="inlineStr">
        <is>
          <t>ECOM_B2C</t>
        </is>
      </c>
      <c r="G836" s="16" t="inlineStr">
        <is>
          <t>Howrah</t>
        </is>
      </c>
      <c r="H836" s="16" t="n">
        <v>1.45</v>
      </c>
      <c r="I836" s="16" t="n">
        <v>1080</v>
      </c>
      <c r="J836" s="16" t="n">
        <v>1200</v>
      </c>
      <c r="K836" s="18" t="n">
        <v>1097.4</v>
      </c>
      <c r="L836" s="18" t="n">
        <v>0</v>
      </c>
      <c r="M836" s="16" t="inlineStr">
        <is>
          <t>Yes</t>
        </is>
      </c>
      <c r="N836" s="17" t="n">
        <v>1.905</v>
      </c>
      <c r="O836" s="17" t="n">
        <v>2.572</v>
      </c>
      <c r="P836" s="18" t="n">
        <v>13.4</v>
      </c>
    </row>
    <row r="837">
      <c r="B837" s="10" t="inlineStr">
        <is>
          <t>KOL</t>
        </is>
      </c>
      <c r="C837" s="10" t="inlineStr">
        <is>
          <t>VEH-KOL-010</t>
        </is>
      </c>
      <c r="D837" s="10" t="n">
        <v>11</v>
      </c>
      <c r="E837" s="10" t="inlineStr">
        <is>
          <t>ORD-KOL-001345</t>
        </is>
      </c>
      <c r="F837" s="10" t="inlineStr">
        <is>
          <t>ECOM_B2C</t>
        </is>
      </c>
      <c r="G837" s="10" t="inlineStr">
        <is>
          <t>Howrah</t>
        </is>
      </c>
      <c r="H837" s="10" t="n">
        <v>4.2</v>
      </c>
      <c r="I837" s="10" t="n">
        <v>1080</v>
      </c>
      <c r="J837" s="10" t="n">
        <v>1200</v>
      </c>
      <c r="K837" s="12" t="n">
        <v>1103.8</v>
      </c>
      <c r="L837" s="12" t="n">
        <v>0</v>
      </c>
      <c r="M837" s="10" t="inlineStr">
        <is>
          <t>Yes</t>
        </is>
      </c>
      <c r="N837" s="11" t="n">
        <v>0.348</v>
      </c>
      <c r="O837" s="11" t="n">
        <v>0.47</v>
      </c>
      <c r="P837" s="12" t="n">
        <v>2.4</v>
      </c>
    </row>
    <row r="838">
      <c r="B838" s="16" t="inlineStr">
        <is>
          <t>KOL</t>
        </is>
      </c>
      <c r="C838" s="16" t="inlineStr">
        <is>
          <t>VEH-KOL-012</t>
        </is>
      </c>
      <c r="D838" s="16" t="n">
        <v>1</v>
      </c>
      <c r="E838" s="16" t="inlineStr">
        <is>
          <t>ORD-KOL-001385</t>
        </is>
      </c>
      <c r="F838" s="16" t="inlineStr">
        <is>
          <t>ECOM_B2C</t>
        </is>
      </c>
      <c r="G838" s="16" t="inlineStr">
        <is>
          <t>East Kolkata</t>
        </is>
      </c>
      <c r="H838" s="16" t="n">
        <v>4.13</v>
      </c>
      <c r="I838" s="16" t="n">
        <v>540</v>
      </c>
      <c r="J838" s="16" t="n">
        <v>720</v>
      </c>
      <c r="K838" s="18" t="n">
        <v>540</v>
      </c>
      <c r="L838" s="18" t="n">
        <v>0</v>
      </c>
      <c r="M838" s="16" t="inlineStr">
        <is>
          <t>Yes</t>
        </is>
      </c>
      <c r="N838" s="17" t="n">
        <v>2.321</v>
      </c>
      <c r="O838" s="17" t="n">
        <v>3.134</v>
      </c>
      <c r="P838" s="18" t="n">
        <v>12.6</v>
      </c>
    </row>
    <row r="839">
      <c r="B839" s="10" t="inlineStr">
        <is>
          <t>KOL</t>
        </is>
      </c>
      <c r="C839" s="10" t="inlineStr">
        <is>
          <t>VEH-KOL-012</t>
        </is>
      </c>
      <c r="D839" s="10" t="n">
        <v>2</v>
      </c>
      <c r="E839" s="10" t="inlineStr">
        <is>
          <t>ORD-KOL-001383</t>
        </is>
      </c>
      <c r="F839" s="10" t="inlineStr">
        <is>
          <t>ECOM_B2C</t>
        </is>
      </c>
      <c r="G839" s="10" t="inlineStr">
        <is>
          <t>East Kolkata</t>
        </is>
      </c>
      <c r="H839" s="10" t="n">
        <v>2.03</v>
      </c>
      <c r="I839" s="10" t="n">
        <v>540</v>
      </c>
      <c r="J839" s="10" t="n">
        <v>720</v>
      </c>
      <c r="K839" s="12" t="n">
        <v>568.5</v>
      </c>
      <c r="L839" s="12" t="n">
        <v>0</v>
      </c>
      <c r="M839" s="10" t="inlineStr">
        <is>
          <t>Yes</t>
        </is>
      </c>
      <c r="N839" s="11" t="n">
        <v>4.53</v>
      </c>
      <c r="O839" s="11" t="n">
        <v>6.115</v>
      </c>
      <c r="P839" s="12" t="n">
        <v>24.5</v>
      </c>
    </row>
    <row r="840">
      <c r="B840" s="16" t="inlineStr">
        <is>
          <t>KOL</t>
        </is>
      </c>
      <c r="C840" s="16" t="inlineStr">
        <is>
          <t>VEH-KOL-012</t>
        </is>
      </c>
      <c r="D840" s="16" t="n">
        <v>3</v>
      </c>
      <c r="E840" s="16" t="inlineStr">
        <is>
          <t>ORD-KOL-001388</t>
        </is>
      </c>
      <c r="F840" s="16" t="inlineStr">
        <is>
          <t>ECOM_B2C</t>
        </is>
      </c>
      <c r="G840" s="16" t="inlineStr">
        <is>
          <t>North Kolkata</t>
        </is>
      </c>
      <c r="H840" s="16" t="n">
        <v>3.24</v>
      </c>
      <c r="I840" s="16" t="n">
        <v>540</v>
      </c>
      <c r="J840" s="16" t="n">
        <v>720</v>
      </c>
      <c r="K840" s="18" t="n">
        <v>587.5</v>
      </c>
      <c r="L840" s="18" t="n">
        <v>0</v>
      </c>
      <c r="M840" s="16" t="inlineStr">
        <is>
          <t>Yes</t>
        </is>
      </c>
      <c r="N840" s="17" t="n">
        <v>2.743</v>
      </c>
      <c r="O840" s="17" t="n">
        <v>3.703</v>
      </c>
      <c r="P840" s="18" t="n">
        <v>15</v>
      </c>
    </row>
    <row r="841">
      <c r="B841" s="10" t="inlineStr">
        <is>
          <t>KOL</t>
        </is>
      </c>
      <c r="C841" s="10" t="inlineStr">
        <is>
          <t>VEH-KOL-012</t>
        </is>
      </c>
      <c r="D841" s="10" t="n">
        <v>4</v>
      </c>
      <c r="E841" s="10" t="inlineStr">
        <is>
          <t>ORD-KOL-001393</t>
        </is>
      </c>
      <c r="F841" s="10" t="inlineStr">
        <is>
          <t>ECOM_B2C</t>
        </is>
      </c>
      <c r="G841" s="10" t="inlineStr">
        <is>
          <t>North Kolkata</t>
        </is>
      </c>
      <c r="H841" s="10" t="n">
        <v>19.3</v>
      </c>
      <c r="I841" s="10" t="n">
        <v>600</v>
      </c>
      <c r="J841" s="10" t="n">
        <v>720</v>
      </c>
      <c r="K841" s="12" t="n">
        <v>611.1</v>
      </c>
      <c r="L841" s="12" t="n">
        <v>0</v>
      </c>
      <c r="M841" s="10" t="inlineStr">
        <is>
          <t>Yes</t>
        </is>
      </c>
      <c r="N841" s="11" t="n">
        <v>3.576</v>
      </c>
      <c r="O841" s="11" t="n">
        <v>4.828</v>
      </c>
      <c r="P841" s="12" t="n">
        <v>19.6</v>
      </c>
    </row>
    <row r="842">
      <c r="B842" s="16" t="inlineStr">
        <is>
          <t>KOL</t>
        </is>
      </c>
      <c r="C842" s="16" t="inlineStr">
        <is>
          <t>VEH-KOL-012</t>
        </is>
      </c>
      <c r="D842" s="16" t="n">
        <v>5</v>
      </c>
      <c r="E842" s="16" t="inlineStr">
        <is>
          <t>ORD-KOL-001378</t>
        </is>
      </c>
      <c r="F842" s="16" t="inlineStr">
        <is>
          <t>ECOM_B2C</t>
        </is>
      </c>
      <c r="G842" s="16" t="inlineStr">
        <is>
          <t>North Kolkata</t>
        </is>
      </c>
      <c r="H842" s="16" t="n">
        <v>1.01</v>
      </c>
      <c r="I842" s="16" t="n">
        <v>540</v>
      </c>
      <c r="J842" s="16" t="n">
        <v>720</v>
      </c>
      <c r="K842" s="18" t="n">
        <v>622</v>
      </c>
      <c r="L842" s="18" t="n">
        <v>0</v>
      </c>
      <c r="M842" s="16" t="inlineStr">
        <is>
          <t>Yes</t>
        </is>
      </c>
      <c r="N842" s="17" t="n">
        <v>1.263</v>
      </c>
      <c r="O842" s="17" t="n">
        <v>1.705</v>
      </c>
      <c r="P842" s="18" t="n">
        <v>6.9</v>
      </c>
    </row>
    <row r="843">
      <c r="B843" s="10" t="inlineStr">
        <is>
          <t>KOL</t>
        </is>
      </c>
      <c r="C843" s="10" t="inlineStr">
        <is>
          <t>VEH-KOL-012</t>
        </is>
      </c>
      <c r="D843" s="10" t="n">
        <v>6</v>
      </c>
      <c r="E843" s="10" t="inlineStr">
        <is>
          <t>ORD-KOL-001367</t>
        </is>
      </c>
      <c r="F843" s="10" t="inlineStr">
        <is>
          <t>ECOM_B2C</t>
        </is>
      </c>
      <c r="G843" s="10" t="inlineStr">
        <is>
          <t>North Kolkata</t>
        </is>
      </c>
      <c r="H843" s="10" t="n">
        <v>5.16</v>
      </c>
      <c r="I843" s="10" t="n">
        <v>540</v>
      </c>
      <c r="J843" s="10" t="n">
        <v>720</v>
      </c>
      <c r="K843" s="12" t="n">
        <v>634.2</v>
      </c>
      <c r="L843" s="12" t="n">
        <v>0</v>
      </c>
      <c r="M843" s="10" t="inlineStr">
        <is>
          <t>Yes</t>
        </is>
      </c>
      <c r="N843" s="11" t="n">
        <v>1.484</v>
      </c>
      <c r="O843" s="11" t="n">
        <v>2.003</v>
      </c>
      <c r="P843" s="12" t="n">
        <v>8.1</v>
      </c>
    </row>
    <row r="844">
      <c r="B844" s="16" t="inlineStr">
        <is>
          <t>KOL</t>
        </is>
      </c>
      <c r="C844" s="16" t="inlineStr">
        <is>
          <t>VEH-KOL-012</t>
        </is>
      </c>
      <c r="D844" s="16" t="n">
        <v>7</v>
      </c>
      <c r="E844" s="16" t="inlineStr">
        <is>
          <t>ORD-KOL-001398</t>
        </is>
      </c>
      <c r="F844" s="16" t="inlineStr">
        <is>
          <t>ECOM_B2C</t>
        </is>
      </c>
      <c r="G844" s="16" t="inlineStr">
        <is>
          <t>North Kolkata</t>
        </is>
      </c>
      <c r="H844" s="16" t="n">
        <v>0.98</v>
      </c>
      <c r="I844" s="16" t="n">
        <v>540</v>
      </c>
      <c r="J844" s="16" t="n">
        <v>720</v>
      </c>
      <c r="K844" s="18" t="n">
        <v>642.5</v>
      </c>
      <c r="L844" s="18" t="n">
        <v>0</v>
      </c>
      <c r="M844" s="16" t="inlineStr">
        <is>
          <t>Yes</t>
        </is>
      </c>
      <c r="N844" s="17" t="n">
        <v>0.792</v>
      </c>
      <c r="O844" s="17" t="n">
        <v>1.069</v>
      </c>
      <c r="P844" s="18" t="n">
        <v>4.3</v>
      </c>
    </row>
    <row r="845">
      <c r="B845" s="10" t="inlineStr">
        <is>
          <t>KOL</t>
        </is>
      </c>
      <c r="C845" s="10" t="inlineStr">
        <is>
          <t>VEH-KOL-012</t>
        </is>
      </c>
      <c r="D845" s="10" t="n">
        <v>8</v>
      </c>
      <c r="E845" s="10" t="inlineStr">
        <is>
          <t>ORD-KOL-001370</t>
        </is>
      </c>
      <c r="F845" s="10" t="inlineStr">
        <is>
          <t>ECOM_B2C</t>
        </is>
      </c>
      <c r="G845" s="10" t="inlineStr">
        <is>
          <t>North Kolkata</t>
        </is>
      </c>
      <c r="H845" s="10" t="n">
        <v>2.12</v>
      </c>
      <c r="I845" s="10" t="n">
        <v>540</v>
      </c>
      <c r="J845" s="10" t="n">
        <v>720</v>
      </c>
      <c r="K845" s="12" t="n">
        <v>651</v>
      </c>
      <c r="L845" s="12" t="n">
        <v>0</v>
      </c>
      <c r="M845" s="10" t="inlineStr">
        <is>
          <t>Yes</t>
        </is>
      </c>
      <c r="N845" s="11" t="n">
        <v>0.8120000000000001</v>
      </c>
      <c r="O845" s="11" t="n">
        <v>1.096</v>
      </c>
      <c r="P845" s="12" t="n">
        <v>4.4</v>
      </c>
    </row>
    <row r="846">
      <c r="B846" s="16" t="inlineStr">
        <is>
          <t>KOL</t>
        </is>
      </c>
      <c r="C846" s="16" t="inlineStr">
        <is>
          <t>VEH-KOL-012</t>
        </is>
      </c>
      <c r="D846" s="16" t="n">
        <v>9</v>
      </c>
      <c r="E846" s="16" t="inlineStr">
        <is>
          <t>ORD-KOL-001366</t>
        </is>
      </c>
      <c r="F846" s="16" t="inlineStr">
        <is>
          <t>ECOM_B2C</t>
        </is>
      </c>
      <c r="G846" s="16" t="inlineStr">
        <is>
          <t>North Kolkata</t>
        </is>
      </c>
      <c r="H846" s="16" t="n">
        <v>4.21</v>
      </c>
      <c r="I846" s="16" t="n">
        <v>720</v>
      </c>
      <c r="J846" s="16" t="n">
        <v>900</v>
      </c>
      <c r="K846" s="18" t="n">
        <v>655</v>
      </c>
      <c r="L846" s="18" t="n">
        <v>0</v>
      </c>
      <c r="M846" s="16" t="inlineStr">
        <is>
          <t>Yes</t>
        </is>
      </c>
      <c r="N846" s="17" t="n">
        <v>0</v>
      </c>
      <c r="O846" s="17" t="n">
        <v>0</v>
      </c>
      <c r="P846" s="18" t="n">
        <v>0</v>
      </c>
    </row>
    <row r="847">
      <c r="B847" s="10" t="inlineStr">
        <is>
          <t>KOL</t>
        </is>
      </c>
      <c r="C847" s="10" t="inlineStr">
        <is>
          <t>VEH-KOL-012</t>
        </is>
      </c>
      <c r="D847" s="10" t="n">
        <v>10</v>
      </c>
      <c r="E847" s="10" t="inlineStr">
        <is>
          <t>ORD-KOL-001349</t>
        </is>
      </c>
      <c r="F847" s="10" t="inlineStr">
        <is>
          <t>ECOM_B2C</t>
        </is>
      </c>
      <c r="G847" s="10" t="inlineStr">
        <is>
          <t>Central Kolkata</t>
        </is>
      </c>
      <c r="H847" s="10" t="n">
        <v>3.1</v>
      </c>
      <c r="I847" s="10" t="n">
        <v>720</v>
      </c>
      <c r="J847" s="10" t="n">
        <v>900</v>
      </c>
      <c r="K847" s="12" t="n">
        <v>735.5</v>
      </c>
      <c r="L847" s="12" t="n">
        <v>0</v>
      </c>
      <c r="M847" s="10" t="inlineStr">
        <is>
          <t>Yes</t>
        </is>
      </c>
      <c r="N847" s="11" t="n">
        <v>3.352</v>
      </c>
      <c r="O847" s="11" t="n">
        <v>4.525</v>
      </c>
      <c r="P847" s="12" t="n">
        <v>11.5</v>
      </c>
    </row>
    <row r="848">
      <c r="B848" s="16" t="inlineStr">
        <is>
          <t>KOL</t>
        </is>
      </c>
      <c r="C848" s="16" t="inlineStr">
        <is>
          <t>VEH-KOL-012</t>
        </is>
      </c>
      <c r="D848" s="16" t="n">
        <v>11</v>
      </c>
      <c r="E848" s="16" t="inlineStr">
        <is>
          <t>ORD-KOL-001353</t>
        </is>
      </c>
      <c r="F848" s="16" t="inlineStr">
        <is>
          <t>ECOM_B2C</t>
        </is>
      </c>
      <c r="G848" s="16" t="inlineStr">
        <is>
          <t>Central Kolkata</t>
        </is>
      </c>
      <c r="H848" s="16" t="n">
        <v>0.97</v>
      </c>
      <c r="I848" s="16" t="n">
        <v>720</v>
      </c>
      <c r="J848" s="16" t="n">
        <v>900</v>
      </c>
      <c r="K848" s="18" t="n">
        <v>742.7</v>
      </c>
      <c r="L848" s="18" t="n">
        <v>0</v>
      </c>
      <c r="M848" s="16" t="inlineStr">
        <is>
          <t>Yes</t>
        </is>
      </c>
      <c r="N848" s="17" t="n">
        <v>0.9389999999999999</v>
      </c>
      <c r="O848" s="17" t="n">
        <v>1.268</v>
      </c>
      <c r="P848" s="18" t="n">
        <v>3.2</v>
      </c>
    </row>
    <row r="849">
      <c r="B849" s="10" t="inlineStr">
        <is>
          <t>KOL</t>
        </is>
      </c>
      <c r="C849" s="10" t="inlineStr">
        <is>
          <t>VEH-KOL-012</t>
        </is>
      </c>
      <c r="D849" s="10" t="n">
        <v>12</v>
      </c>
      <c r="E849" s="10" t="inlineStr">
        <is>
          <t>ORD-KOL-001392</t>
        </is>
      </c>
      <c r="F849" s="10" t="inlineStr">
        <is>
          <t>ECOM_B2C</t>
        </is>
      </c>
      <c r="G849" s="10" t="inlineStr">
        <is>
          <t>Central Kolkata</t>
        </is>
      </c>
      <c r="H849" s="10" t="n">
        <v>0.64</v>
      </c>
      <c r="I849" s="10" t="n">
        <v>720</v>
      </c>
      <c r="J849" s="10" t="n">
        <v>900</v>
      </c>
      <c r="K849" s="12" t="n">
        <v>753.7</v>
      </c>
      <c r="L849" s="12" t="n">
        <v>0</v>
      </c>
      <c r="M849" s="10" t="inlineStr">
        <is>
          <t>Yes</t>
        </is>
      </c>
      <c r="N849" s="11" t="n">
        <v>2.04</v>
      </c>
      <c r="O849" s="11" t="n">
        <v>2.755</v>
      </c>
      <c r="P849" s="12" t="n">
        <v>7</v>
      </c>
    </row>
    <row r="850">
      <c r="B850" s="16" t="inlineStr">
        <is>
          <t>KOL</t>
        </is>
      </c>
      <c r="C850" s="16" t="inlineStr">
        <is>
          <t>VEH-KOL-012</t>
        </is>
      </c>
      <c r="D850" s="16" t="n">
        <v>13</v>
      </c>
      <c r="E850" s="16" t="inlineStr">
        <is>
          <t>ORD-KOL-001342</t>
        </is>
      </c>
      <c r="F850" s="16" t="inlineStr">
        <is>
          <t>ECOM_B2C</t>
        </is>
      </c>
      <c r="G850" s="16" t="inlineStr">
        <is>
          <t>East Kolkata</t>
        </is>
      </c>
      <c r="H850" s="16" t="n">
        <v>3.37</v>
      </c>
      <c r="I850" s="16" t="n">
        <v>720</v>
      </c>
      <c r="J850" s="16" t="n">
        <v>900</v>
      </c>
      <c r="K850" s="18" t="n">
        <v>774.8</v>
      </c>
      <c r="L850" s="18" t="n">
        <v>0</v>
      </c>
      <c r="M850" s="16" t="inlineStr">
        <is>
          <t>Yes</t>
        </is>
      </c>
      <c r="N850" s="17" t="n">
        <v>5.173</v>
      </c>
      <c r="O850" s="17" t="n">
        <v>6.984</v>
      </c>
      <c r="P850" s="18" t="n">
        <v>17.1</v>
      </c>
    </row>
    <row r="851">
      <c r="B851" s="10" t="inlineStr">
        <is>
          <t>KOL</t>
        </is>
      </c>
      <c r="C851" s="10" t="inlineStr">
        <is>
          <t>VEH-KOL-012</t>
        </is>
      </c>
      <c r="D851" s="10" t="n">
        <v>14</v>
      </c>
      <c r="E851" s="10" t="inlineStr">
        <is>
          <t>ORD-KOL-001381</t>
        </is>
      </c>
      <c r="F851" s="10" t="inlineStr">
        <is>
          <t>ECOM_B2C</t>
        </is>
      </c>
      <c r="G851" s="10" t="inlineStr">
        <is>
          <t>East Kolkata</t>
        </is>
      </c>
      <c r="H851" s="10" t="n">
        <v>2.55</v>
      </c>
      <c r="I851" s="10" t="n">
        <v>720</v>
      </c>
      <c r="J851" s="10" t="n">
        <v>900</v>
      </c>
      <c r="K851" s="12" t="n">
        <v>779.3</v>
      </c>
      <c r="L851" s="12" t="n">
        <v>0</v>
      </c>
      <c r="M851" s="10" t="inlineStr">
        <is>
          <t>Yes</t>
        </is>
      </c>
      <c r="N851" s="11" t="n">
        <v>0.161</v>
      </c>
      <c r="O851" s="11" t="n">
        <v>0.217</v>
      </c>
      <c r="P851" s="12" t="n">
        <v>0.5</v>
      </c>
    </row>
    <row r="852">
      <c r="B852" s="16" t="inlineStr">
        <is>
          <t>KOL</t>
        </is>
      </c>
      <c r="C852" s="16" t="inlineStr">
        <is>
          <t>VEH-KOL-012</t>
        </is>
      </c>
      <c r="D852" s="16" t="n">
        <v>15</v>
      </c>
      <c r="E852" s="16" t="inlineStr">
        <is>
          <t>ORD-KOL-001344</t>
        </is>
      </c>
      <c r="F852" s="16" t="inlineStr">
        <is>
          <t>ECOM_B2C</t>
        </is>
      </c>
      <c r="G852" s="16" t="inlineStr">
        <is>
          <t>East Kolkata</t>
        </is>
      </c>
      <c r="H852" s="16" t="n">
        <v>1.77</v>
      </c>
      <c r="I852" s="16" t="n">
        <v>720</v>
      </c>
      <c r="J852" s="16" t="n">
        <v>900</v>
      </c>
      <c r="K852" s="18" t="n">
        <v>812.8</v>
      </c>
      <c r="L852" s="18" t="n">
        <v>0</v>
      </c>
      <c r="M852" s="16" t="inlineStr">
        <is>
          <t>Yes</t>
        </is>
      </c>
      <c r="N852" s="17" t="n">
        <v>8.904</v>
      </c>
      <c r="O852" s="17" t="n">
        <v>12.02</v>
      </c>
      <c r="P852" s="18" t="n">
        <v>29.4</v>
      </c>
    </row>
    <row r="853">
      <c r="B853" s="10" t="inlineStr">
        <is>
          <t>KOL</t>
        </is>
      </c>
      <c r="C853" s="10" t="inlineStr">
        <is>
          <t>VEH-KOL-012</t>
        </is>
      </c>
      <c r="D853" s="10" t="n">
        <v>16</v>
      </c>
      <c r="E853" s="10" t="inlineStr">
        <is>
          <t>ORD-KOL-001395</t>
        </is>
      </c>
      <c r="F853" s="10" t="inlineStr">
        <is>
          <t>ECOM_B2C</t>
        </is>
      </c>
      <c r="G853" s="10" t="inlineStr">
        <is>
          <t>East Kolkata</t>
        </is>
      </c>
      <c r="H853" s="10" t="n">
        <v>1.93</v>
      </c>
      <c r="I853" s="10" t="n">
        <v>840</v>
      </c>
      <c r="J853" s="10" t="n">
        <v>960</v>
      </c>
      <c r="K853" s="12" t="n">
        <v>830.2</v>
      </c>
      <c r="L853" s="12" t="n">
        <v>0</v>
      </c>
      <c r="M853" s="10" t="inlineStr">
        <is>
          <t>Yes</t>
        </is>
      </c>
      <c r="N853" s="11" t="n">
        <v>4.05</v>
      </c>
      <c r="O853" s="11" t="n">
        <v>5.467</v>
      </c>
      <c r="P853" s="12" t="n">
        <v>13.4</v>
      </c>
    </row>
    <row r="854">
      <c r="B854" s="16" t="inlineStr">
        <is>
          <t>KOL</t>
        </is>
      </c>
      <c r="C854" s="16" t="inlineStr">
        <is>
          <t>VEH-KOL-012</t>
        </is>
      </c>
      <c r="D854" s="16" t="n">
        <v>17</v>
      </c>
      <c r="E854" s="16" t="inlineStr">
        <is>
          <t>ORD-KOL-001421</t>
        </is>
      </c>
      <c r="F854" s="16" t="inlineStr">
        <is>
          <t>ECOM_B2C</t>
        </is>
      </c>
      <c r="G854" s="16" t="inlineStr">
        <is>
          <t>North Kolkata</t>
        </is>
      </c>
      <c r="H854" s="16" t="n">
        <v>1.9</v>
      </c>
      <c r="I854" s="16" t="n">
        <v>720</v>
      </c>
      <c r="J854" s="16" t="n">
        <v>900</v>
      </c>
      <c r="K854" s="18" t="n">
        <v>854.5</v>
      </c>
      <c r="L854" s="18" t="n">
        <v>0</v>
      </c>
      <c r="M854" s="16" t="inlineStr">
        <is>
          <t>Yes</t>
        </is>
      </c>
      <c r="N854" s="17" t="n">
        <v>3.123</v>
      </c>
      <c r="O854" s="17" t="n">
        <v>4.216</v>
      </c>
      <c r="P854" s="18" t="n">
        <v>10.5</v>
      </c>
    </row>
    <row r="855">
      <c r="B855" s="10" t="inlineStr">
        <is>
          <t>KOL</t>
        </is>
      </c>
      <c r="C855" s="10" t="inlineStr">
        <is>
          <t>VEH-KOL-012</t>
        </is>
      </c>
      <c r="D855" s="10" t="n">
        <v>18</v>
      </c>
      <c r="E855" s="10" t="inlineStr">
        <is>
          <t>ORD-KOL-001414</t>
        </is>
      </c>
      <c r="F855" s="10" t="inlineStr">
        <is>
          <t>ECOM_B2C</t>
        </is>
      </c>
      <c r="G855" s="10" t="inlineStr">
        <is>
          <t>North Kolkata</t>
        </is>
      </c>
      <c r="H855" s="10" t="n">
        <v>10.76</v>
      </c>
      <c r="I855" s="10" t="n">
        <v>900</v>
      </c>
      <c r="J855" s="10" t="n">
        <v>1080</v>
      </c>
      <c r="K855" s="12" t="n">
        <v>859.4</v>
      </c>
      <c r="L855" s="12" t="n">
        <v>0</v>
      </c>
      <c r="M855" s="10" t="inlineStr">
        <is>
          <t>Yes</t>
        </is>
      </c>
      <c r="N855" s="11" t="n">
        <v>0.277</v>
      </c>
      <c r="O855" s="11" t="n">
        <v>0.374</v>
      </c>
      <c r="P855" s="12" t="n">
        <v>0.9</v>
      </c>
    </row>
    <row r="856">
      <c r="B856" s="16" t="inlineStr">
        <is>
          <t>KOL</t>
        </is>
      </c>
      <c r="C856" s="16" t="inlineStr">
        <is>
          <t>VEH-KOL-012</t>
        </is>
      </c>
      <c r="D856" s="16" t="n">
        <v>19</v>
      </c>
      <c r="E856" s="16" t="inlineStr">
        <is>
          <t>ORD-KOL-001365</t>
        </is>
      </c>
      <c r="F856" s="16" t="inlineStr">
        <is>
          <t>ECOM_B2C</t>
        </is>
      </c>
      <c r="G856" s="16" t="inlineStr">
        <is>
          <t>North Kolkata</t>
        </is>
      </c>
      <c r="H856" s="16" t="n">
        <v>1.53</v>
      </c>
      <c r="I856" s="16" t="n">
        <v>900</v>
      </c>
      <c r="J856" s="16" t="n">
        <v>1080</v>
      </c>
      <c r="K856" s="18" t="n">
        <v>905.2</v>
      </c>
      <c r="L856" s="18" t="n">
        <v>0</v>
      </c>
      <c r="M856" s="16" t="inlineStr">
        <is>
          <t>Yes</t>
        </is>
      </c>
      <c r="N856" s="17" t="n">
        <v>0.35</v>
      </c>
      <c r="O856" s="17" t="n">
        <v>0.473</v>
      </c>
      <c r="P856" s="18" t="n">
        <v>1.2</v>
      </c>
    </row>
    <row r="857">
      <c r="B857" s="10" t="inlineStr">
        <is>
          <t>KOL</t>
        </is>
      </c>
      <c r="C857" s="10" t="inlineStr">
        <is>
          <t>VEH-KOL-012</t>
        </is>
      </c>
      <c r="D857" s="10" t="n">
        <v>20</v>
      </c>
      <c r="E857" s="10" t="inlineStr">
        <is>
          <t>ORD-KOL-001337</t>
        </is>
      </c>
      <c r="F857" s="10" t="inlineStr">
        <is>
          <t>ECOM_B2C</t>
        </is>
      </c>
      <c r="G857" s="10" t="inlineStr">
        <is>
          <t>North Kolkata</t>
        </is>
      </c>
      <c r="H857" s="10" t="n">
        <v>2.36</v>
      </c>
      <c r="I857" s="10" t="n">
        <v>840</v>
      </c>
      <c r="J857" s="10" t="n">
        <v>960</v>
      </c>
      <c r="K857" s="12" t="n">
        <v>924</v>
      </c>
      <c r="L857" s="12" t="n">
        <v>0</v>
      </c>
      <c r="M857" s="10" t="inlineStr">
        <is>
          <t>Yes</t>
        </is>
      </c>
      <c r="N857" s="11" t="n">
        <v>4.439</v>
      </c>
      <c r="O857" s="11" t="n">
        <v>5.992</v>
      </c>
      <c r="P857" s="12" t="n">
        <v>14.9</v>
      </c>
    </row>
    <row r="858">
      <c r="B858" s="16" t="inlineStr">
        <is>
          <t>KOL</t>
        </is>
      </c>
      <c r="C858" s="16" t="inlineStr">
        <is>
          <t>VEH-KOL-012</t>
        </is>
      </c>
      <c r="D858" s="16" t="n">
        <v>21</v>
      </c>
      <c r="E858" s="16" t="inlineStr">
        <is>
          <t>ORD-KOL-001403</t>
        </is>
      </c>
      <c r="F858" s="16" t="inlineStr">
        <is>
          <t>ECOM_B2C</t>
        </is>
      </c>
      <c r="G858" s="16" t="inlineStr">
        <is>
          <t>North Kolkata</t>
        </is>
      </c>
      <c r="H858" s="16" t="n">
        <v>7.12</v>
      </c>
      <c r="I858" s="16" t="n">
        <v>840</v>
      </c>
      <c r="J858" s="16" t="n">
        <v>960</v>
      </c>
      <c r="K858" s="18" t="n">
        <v>928.5</v>
      </c>
      <c r="L858" s="18" t="n">
        <v>0</v>
      </c>
      <c r="M858" s="16" t="inlineStr">
        <is>
          <t>Yes</t>
        </is>
      </c>
      <c r="N858" s="17" t="n">
        <v>0.149</v>
      </c>
      <c r="O858" s="17" t="n">
        <v>0.202</v>
      </c>
      <c r="P858" s="18" t="n">
        <v>0.5</v>
      </c>
    </row>
    <row r="859">
      <c r="B859" s="10" t="inlineStr">
        <is>
          <t>KOL</t>
        </is>
      </c>
      <c r="C859" s="10" t="inlineStr">
        <is>
          <t>VEH-KOL-012</t>
        </is>
      </c>
      <c r="D859" s="10" t="n">
        <v>22</v>
      </c>
      <c r="E859" s="10" t="inlineStr">
        <is>
          <t>ORD-KOL-001390</t>
        </is>
      </c>
      <c r="F859" s="10" t="inlineStr">
        <is>
          <t>ECOM_B2C</t>
        </is>
      </c>
      <c r="G859" s="10" t="inlineStr">
        <is>
          <t>North Kolkata</t>
        </is>
      </c>
      <c r="H859" s="10" t="n">
        <v>2.41</v>
      </c>
      <c r="I859" s="10" t="n">
        <v>900</v>
      </c>
      <c r="J859" s="10" t="n">
        <v>1080</v>
      </c>
      <c r="K859" s="12" t="n">
        <v>935.6</v>
      </c>
      <c r="L859" s="12" t="n">
        <v>0</v>
      </c>
      <c r="M859" s="10" t="inlineStr">
        <is>
          <t>Yes</t>
        </is>
      </c>
      <c r="N859" s="11" t="n">
        <v>0.908</v>
      </c>
      <c r="O859" s="11" t="n">
        <v>1.225</v>
      </c>
      <c r="P859" s="12" t="n">
        <v>3</v>
      </c>
    </row>
    <row r="860">
      <c r="B860" s="16" t="inlineStr">
        <is>
          <t>KOL</t>
        </is>
      </c>
      <c r="C860" s="16" t="inlineStr">
        <is>
          <t>VEH-KOL-012</t>
        </is>
      </c>
      <c r="D860" s="16" t="n">
        <v>23</v>
      </c>
      <c r="E860" s="16" t="inlineStr">
        <is>
          <t>ORD-KOL-001350</t>
        </is>
      </c>
      <c r="F860" s="16" t="inlineStr">
        <is>
          <t>ECOM_B2C</t>
        </is>
      </c>
      <c r="G860" s="16" t="inlineStr">
        <is>
          <t>Central Kolkata</t>
        </is>
      </c>
      <c r="H860" s="16" t="n">
        <v>2.04</v>
      </c>
      <c r="I860" s="16" t="n">
        <v>900</v>
      </c>
      <c r="J860" s="16" t="n">
        <v>1080</v>
      </c>
      <c r="K860" s="18" t="n">
        <v>954.9</v>
      </c>
      <c r="L860" s="18" t="n">
        <v>0</v>
      </c>
      <c r="M860" s="16" t="inlineStr">
        <is>
          <t>Yes</t>
        </is>
      </c>
      <c r="N860" s="17" t="n">
        <v>4.48</v>
      </c>
      <c r="O860" s="17" t="n">
        <v>6.049</v>
      </c>
      <c r="P860" s="18" t="n">
        <v>15.3</v>
      </c>
    </row>
    <row r="861">
      <c r="B861" s="10" t="inlineStr">
        <is>
          <t>KOL</t>
        </is>
      </c>
      <c r="C861" s="10" t="inlineStr">
        <is>
          <t>VEH-KOL-012</t>
        </is>
      </c>
      <c r="D861" s="10" t="n">
        <v>24</v>
      </c>
      <c r="E861" s="10" t="inlineStr">
        <is>
          <t>ORD-KOL-001343</t>
        </is>
      </c>
      <c r="F861" s="10" t="inlineStr">
        <is>
          <t>ECOM_B2C</t>
        </is>
      </c>
      <c r="G861" s="10" t="inlineStr">
        <is>
          <t>Central Kolkata</t>
        </is>
      </c>
      <c r="H861" s="10" t="n">
        <v>4.34</v>
      </c>
      <c r="I861" s="10" t="n">
        <v>900</v>
      </c>
      <c r="J861" s="10" t="n">
        <v>1080</v>
      </c>
      <c r="K861" s="12" t="n">
        <v>960</v>
      </c>
      <c r="L861" s="12" t="n">
        <v>0</v>
      </c>
      <c r="M861" s="10" t="inlineStr">
        <is>
          <t>Yes</t>
        </is>
      </c>
      <c r="N861" s="11" t="n">
        <v>0.302</v>
      </c>
      <c r="O861" s="11" t="n">
        <v>0.408</v>
      </c>
      <c r="P861" s="12" t="n">
        <v>1</v>
      </c>
    </row>
    <row r="862">
      <c r="B862" s="16" t="inlineStr">
        <is>
          <t>KOL</t>
        </is>
      </c>
      <c r="C862" s="16" t="inlineStr">
        <is>
          <t>VEH-KOL-012</t>
        </is>
      </c>
      <c r="D862" s="16" t="n">
        <v>25</v>
      </c>
      <c r="E862" s="16" t="inlineStr">
        <is>
          <t>ORD-KOL-001371</t>
        </is>
      </c>
      <c r="F862" s="16" t="inlineStr">
        <is>
          <t>ECOM_B2C</t>
        </is>
      </c>
      <c r="G862" s="16" t="inlineStr">
        <is>
          <t>Central Kolkata</t>
        </is>
      </c>
      <c r="H862" s="16" t="n">
        <v>2.8</v>
      </c>
      <c r="I862" s="16" t="n">
        <v>900</v>
      </c>
      <c r="J862" s="16" t="n">
        <v>1080</v>
      </c>
      <c r="K862" s="18" t="n">
        <v>965.6</v>
      </c>
      <c r="L862" s="18" t="n">
        <v>0</v>
      </c>
      <c r="M862" s="16" t="inlineStr">
        <is>
          <t>Yes</t>
        </is>
      </c>
      <c r="N862" s="17" t="n">
        <v>0.489</v>
      </c>
      <c r="O862" s="17" t="n">
        <v>0.66</v>
      </c>
      <c r="P862" s="18" t="n">
        <v>1.7</v>
      </c>
    </row>
    <row r="863">
      <c r="B863" s="10" t="inlineStr">
        <is>
          <t>KOL</t>
        </is>
      </c>
      <c r="C863" s="10" t="inlineStr">
        <is>
          <t>VEH-KOL-012</t>
        </is>
      </c>
      <c r="D863" s="10" t="n">
        <v>26</v>
      </c>
      <c r="E863" s="10" t="inlineStr">
        <is>
          <t>ORD-KOL-001422</t>
        </is>
      </c>
      <c r="F863" s="10" t="inlineStr">
        <is>
          <t>ECOM_B2C</t>
        </is>
      </c>
      <c r="G863" s="10" t="inlineStr">
        <is>
          <t>Central Kolkata</t>
        </is>
      </c>
      <c r="H863" s="10" t="n">
        <v>4.06</v>
      </c>
      <c r="I863" s="10" t="n">
        <v>900</v>
      </c>
      <c r="J863" s="10" t="n">
        <v>1080</v>
      </c>
      <c r="K863" s="12" t="n">
        <v>975.1</v>
      </c>
      <c r="L863" s="12" t="n">
        <v>0</v>
      </c>
      <c r="M863" s="10" t="inlineStr">
        <is>
          <t>Yes</t>
        </is>
      </c>
      <c r="N863" s="11" t="n">
        <v>1.596</v>
      </c>
      <c r="O863" s="11" t="n">
        <v>2.155</v>
      </c>
      <c r="P863" s="12" t="n">
        <v>5.5</v>
      </c>
    </row>
    <row r="864">
      <c r="B864" s="16" t="inlineStr">
        <is>
          <t>KOL</t>
        </is>
      </c>
      <c r="C864" s="16" t="inlineStr">
        <is>
          <t>VEH-KOL-012</t>
        </is>
      </c>
      <c r="D864" s="16" t="n">
        <v>27</v>
      </c>
      <c r="E864" s="16" t="inlineStr">
        <is>
          <t>ORD-KOL-001374</t>
        </is>
      </c>
      <c r="F864" s="16" t="inlineStr">
        <is>
          <t>ECOM_B2C</t>
        </is>
      </c>
      <c r="G864" s="16" t="inlineStr">
        <is>
          <t>Central Kolkata</t>
        </is>
      </c>
      <c r="H864" s="16" t="n">
        <v>4.82</v>
      </c>
      <c r="I864" s="16" t="n">
        <v>900</v>
      </c>
      <c r="J864" s="16" t="n">
        <v>1080</v>
      </c>
      <c r="K864" s="18" t="n">
        <v>982.2</v>
      </c>
      <c r="L864" s="18" t="n">
        <v>0</v>
      </c>
      <c r="M864" s="16" t="inlineStr">
        <is>
          <t>Yes</t>
        </is>
      </c>
      <c r="N864" s="17" t="n">
        <v>0.901</v>
      </c>
      <c r="O864" s="17" t="n">
        <v>1.216</v>
      </c>
      <c r="P864" s="18" t="n">
        <v>3.1</v>
      </c>
    </row>
    <row r="865">
      <c r="B865" s="10" t="inlineStr">
        <is>
          <t>KOL</t>
        </is>
      </c>
      <c r="C865" s="10" t="inlineStr">
        <is>
          <t>VEH-KOL-012</t>
        </is>
      </c>
      <c r="D865" s="10" t="n">
        <v>28</v>
      </c>
      <c r="E865" s="10" t="inlineStr">
        <is>
          <t>ORD-KOL-001418</t>
        </is>
      </c>
      <c r="F865" s="10" t="inlineStr">
        <is>
          <t>ECOM_B2C</t>
        </is>
      </c>
      <c r="G865" s="10" t="inlineStr">
        <is>
          <t>Central Kolkata</t>
        </is>
      </c>
      <c r="H865" s="10" t="n">
        <v>2.09</v>
      </c>
      <c r="I865" s="10" t="n">
        <v>900</v>
      </c>
      <c r="J865" s="10" t="n">
        <v>1080</v>
      </c>
      <c r="K865" s="12" t="n">
        <v>988.1</v>
      </c>
      <c r="L865" s="12" t="n">
        <v>0</v>
      </c>
      <c r="M865" s="10" t="inlineStr">
        <is>
          <t>Yes</t>
        </is>
      </c>
      <c r="N865" s="11" t="n">
        <v>0.5610000000000001</v>
      </c>
      <c r="O865" s="11" t="n">
        <v>0.757</v>
      </c>
      <c r="P865" s="12" t="n">
        <v>1.9</v>
      </c>
    </row>
    <row r="866">
      <c r="B866" s="16" t="inlineStr">
        <is>
          <t>KOL</t>
        </is>
      </c>
      <c r="C866" s="16" t="inlineStr">
        <is>
          <t>VEH-KOL-012</t>
        </is>
      </c>
      <c r="D866" s="16" t="n">
        <v>29</v>
      </c>
      <c r="E866" s="16" t="inlineStr">
        <is>
          <t>ORD-KOL-001379</t>
        </is>
      </c>
      <c r="F866" s="16" t="inlineStr">
        <is>
          <t>ECOM_B2C</t>
        </is>
      </c>
      <c r="G866" s="16" t="inlineStr">
        <is>
          <t>East Kolkata</t>
        </is>
      </c>
      <c r="H866" s="16" t="n">
        <v>3.22</v>
      </c>
      <c r="I866" s="16" t="n">
        <v>900</v>
      </c>
      <c r="J866" s="16" t="n">
        <v>1080</v>
      </c>
      <c r="K866" s="18" t="n">
        <v>1009.7</v>
      </c>
      <c r="L866" s="18" t="n">
        <v>0</v>
      </c>
      <c r="M866" s="16" t="inlineStr">
        <is>
          <t>Yes</t>
        </is>
      </c>
      <c r="N866" s="17" t="n">
        <v>5.328</v>
      </c>
      <c r="O866" s="17" t="n">
        <v>7.193</v>
      </c>
      <c r="P866" s="18" t="n">
        <v>17.6</v>
      </c>
    </row>
    <row r="867">
      <c r="B867" s="10" t="inlineStr">
        <is>
          <t>KOL</t>
        </is>
      </c>
      <c r="C867" s="10" t="inlineStr">
        <is>
          <t>VEH-KOL-012</t>
        </is>
      </c>
      <c r="D867" s="10" t="n">
        <v>30</v>
      </c>
      <c r="E867" s="10" t="inlineStr">
        <is>
          <t>ORD-KOL-001423</t>
        </is>
      </c>
      <c r="F867" s="10" t="inlineStr">
        <is>
          <t>ECOM_B2C</t>
        </is>
      </c>
      <c r="G867" s="10" t="inlineStr">
        <is>
          <t>South Kolkata</t>
        </is>
      </c>
      <c r="H867" s="10" t="n">
        <v>9.300000000000001</v>
      </c>
      <c r="I867" s="10" t="n">
        <v>900</v>
      </c>
      <c r="J867" s="10" t="n">
        <v>1080</v>
      </c>
      <c r="K867" s="12" t="n">
        <v>1022.8</v>
      </c>
      <c r="L867" s="12" t="n">
        <v>0</v>
      </c>
      <c r="M867" s="10" t="inlineStr">
        <is>
          <t>Yes</t>
        </is>
      </c>
      <c r="N867" s="11" t="n">
        <v>2.694</v>
      </c>
      <c r="O867" s="11" t="n">
        <v>3.636</v>
      </c>
      <c r="P867" s="12" t="n">
        <v>9.1</v>
      </c>
    </row>
    <row r="868">
      <c r="B868" s="16" t="inlineStr">
        <is>
          <t>KOL</t>
        </is>
      </c>
      <c r="C868" s="16" t="inlineStr">
        <is>
          <t>VEH-KOL-012</t>
        </is>
      </c>
      <c r="D868" s="16" t="n">
        <v>31</v>
      </c>
      <c r="E868" s="16" t="inlineStr">
        <is>
          <t>ORD-KOL-001387</t>
        </is>
      </c>
      <c r="F868" s="16" t="inlineStr">
        <is>
          <t>ECOM_B2C</t>
        </is>
      </c>
      <c r="G868" s="16" t="inlineStr">
        <is>
          <t>South Kolkata</t>
        </is>
      </c>
      <c r="H868" s="16" t="n">
        <v>8.27</v>
      </c>
      <c r="I868" s="16" t="n">
        <v>1080</v>
      </c>
      <c r="J868" s="16" t="n">
        <v>1260</v>
      </c>
      <c r="K868" s="18" t="n">
        <v>1026.8</v>
      </c>
      <c r="L868" s="18" t="n">
        <v>0</v>
      </c>
      <c r="M868" s="16" t="inlineStr">
        <is>
          <t>Yes</t>
        </is>
      </c>
      <c r="N868" s="17" t="n">
        <v>0</v>
      </c>
      <c r="O868" s="17" t="n">
        <v>0</v>
      </c>
      <c r="P868" s="18" t="n">
        <v>0</v>
      </c>
    </row>
    <row r="869">
      <c r="B869" s="10" t="inlineStr">
        <is>
          <t>KOL</t>
        </is>
      </c>
      <c r="C869" s="10" t="inlineStr">
        <is>
          <t>VEH-KOL-012</t>
        </is>
      </c>
      <c r="D869" s="10" t="n">
        <v>32</v>
      </c>
      <c r="E869" s="10" t="inlineStr">
        <is>
          <t>ORD-KOL-001401</t>
        </is>
      </c>
      <c r="F869" s="10" t="inlineStr">
        <is>
          <t>ECOM_B2C</t>
        </is>
      </c>
      <c r="G869" s="10" t="inlineStr">
        <is>
          <t>East Kolkata</t>
        </is>
      </c>
      <c r="H869" s="10" t="n">
        <v>5.48</v>
      </c>
      <c r="I869" s="10" t="n">
        <v>1080</v>
      </c>
      <c r="J869" s="10" t="n">
        <v>1260</v>
      </c>
      <c r="K869" s="12" t="n">
        <v>1105.6</v>
      </c>
      <c r="L869" s="12" t="n">
        <v>0</v>
      </c>
      <c r="M869" s="10" t="inlineStr">
        <is>
          <t>Yes</t>
        </is>
      </c>
      <c r="N869" s="11" t="n">
        <v>3.266</v>
      </c>
      <c r="O869" s="11" t="n">
        <v>4.409</v>
      </c>
      <c r="P869" s="12" t="n">
        <v>21.6</v>
      </c>
    </row>
    <row r="870">
      <c r="B870" s="16" t="inlineStr">
        <is>
          <t>KOL</t>
        </is>
      </c>
      <c r="C870" s="16" t="inlineStr">
        <is>
          <t>VEH-KOL-015</t>
        </is>
      </c>
      <c r="D870" s="16" t="n">
        <v>1</v>
      </c>
      <c r="E870" s="16" t="inlineStr">
        <is>
          <t>ORD-KOL-001386</t>
        </is>
      </c>
      <c r="F870" s="16" t="inlineStr">
        <is>
          <t>ECOM_B2C</t>
        </is>
      </c>
      <c r="G870" s="16" t="inlineStr">
        <is>
          <t>East Kolkata</t>
        </is>
      </c>
      <c r="H870" s="16" t="n">
        <v>1.16</v>
      </c>
      <c r="I870" s="16" t="n">
        <v>900</v>
      </c>
      <c r="J870" s="16" t="n">
        <v>1080</v>
      </c>
      <c r="K870" s="18" t="n">
        <v>900</v>
      </c>
      <c r="L870" s="18" t="n">
        <v>0</v>
      </c>
      <c r="M870" s="16" t="inlineStr">
        <is>
          <t>Yes</t>
        </is>
      </c>
      <c r="N870" s="17" t="n">
        <v>2.032</v>
      </c>
      <c r="O870" s="17" t="n">
        <v>2.743</v>
      </c>
      <c r="P870" s="18" t="n">
        <v>6.3</v>
      </c>
    </row>
    <row r="871">
      <c r="B871" s="10" t="inlineStr">
        <is>
          <t>KOL</t>
        </is>
      </c>
      <c r="C871" s="10" t="inlineStr">
        <is>
          <t>VEH-KOL-015</t>
        </is>
      </c>
      <c r="D871" s="10" t="n">
        <v>2</v>
      </c>
      <c r="E871" s="10" t="inlineStr">
        <is>
          <t>ORD-KOL-001334</t>
        </is>
      </c>
      <c r="F871" s="10" t="inlineStr">
        <is>
          <t>ECOM_B2C</t>
        </is>
      </c>
      <c r="G871" s="10" t="inlineStr">
        <is>
          <t>East Kolkata</t>
        </is>
      </c>
      <c r="H871" s="10" t="n">
        <v>2.64</v>
      </c>
      <c r="I871" s="10" t="n">
        <v>900</v>
      </c>
      <c r="J871" s="10" t="n">
        <v>1080</v>
      </c>
      <c r="K871" s="12" t="n">
        <v>918.8</v>
      </c>
      <c r="L871" s="12" t="n">
        <v>0</v>
      </c>
      <c r="M871" s="10" t="inlineStr">
        <is>
          <t>Yes</t>
        </is>
      </c>
      <c r="N871" s="11" t="n">
        <v>4.791</v>
      </c>
      <c r="O871" s="11" t="n">
        <v>6.467</v>
      </c>
      <c r="P871" s="12" t="n">
        <v>14.8</v>
      </c>
    </row>
    <row r="872">
      <c r="B872" s="16" t="inlineStr">
        <is>
          <t>KOL</t>
        </is>
      </c>
      <c r="C872" s="16" t="inlineStr">
        <is>
          <t>VEH-KOL-015</t>
        </is>
      </c>
      <c r="D872" s="16" t="n">
        <v>3</v>
      </c>
      <c r="E872" s="16" t="inlineStr">
        <is>
          <t>ORD-KOL-001340</t>
        </is>
      </c>
      <c r="F872" s="16" t="inlineStr">
        <is>
          <t>ECOM_B2C</t>
        </is>
      </c>
      <c r="G872" s="16" t="inlineStr">
        <is>
          <t>East Kolkata</t>
        </is>
      </c>
      <c r="H872" s="16" t="n">
        <v>1.38</v>
      </c>
      <c r="I872" s="16" t="n">
        <v>1080</v>
      </c>
      <c r="J872" s="16" t="n">
        <v>1260</v>
      </c>
      <c r="K872" s="18" t="n">
        <v>925.5</v>
      </c>
      <c r="L872" s="18" t="n">
        <v>0</v>
      </c>
      <c r="M872" s="16" t="inlineStr">
        <is>
          <t>Yes</t>
        </is>
      </c>
      <c r="N872" s="17" t="n">
        <v>0.895</v>
      </c>
      <c r="O872" s="17" t="n">
        <v>1.208</v>
      </c>
      <c r="P872" s="18" t="n">
        <v>2.8</v>
      </c>
    </row>
    <row r="873">
      <c r="B873" s="10" t="inlineStr">
        <is>
          <t>KOL</t>
        </is>
      </c>
      <c r="C873" s="10" t="inlineStr">
        <is>
          <t>VEH-KOL-015</t>
        </is>
      </c>
      <c r="D873" s="10" t="n">
        <v>4</v>
      </c>
      <c r="E873" s="10" t="inlineStr">
        <is>
          <t>ORD-KOL-001413</t>
        </is>
      </c>
      <c r="F873" s="10" t="inlineStr">
        <is>
          <t>ECOM_B2C</t>
        </is>
      </c>
      <c r="G873" s="10" t="inlineStr">
        <is>
          <t>East Kolkata</t>
        </is>
      </c>
      <c r="H873" s="10" t="n">
        <v>0.39</v>
      </c>
      <c r="I873" s="10" t="n">
        <v>1080</v>
      </c>
      <c r="J873" s="10" t="n">
        <v>1260</v>
      </c>
      <c r="K873" s="12" t="n">
        <v>1090.6</v>
      </c>
      <c r="L873" s="12" t="n">
        <v>0</v>
      </c>
      <c r="M873" s="10" t="inlineStr">
        <is>
          <t>Yes</t>
        </is>
      </c>
      <c r="N873" s="11" t="n">
        <v>1.064</v>
      </c>
      <c r="O873" s="11" t="n">
        <v>1.436</v>
      </c>
      <c r="P873" s="12" t="n">
        <v>6.6</v>
      </c>
    </row>
    <row r="874">
      <c r="B874" s="16" t="inlineStr">
        <is>
          <t>KOL</t>
        </is>
      </c>
      <c r="C874" s="16" t="inlineStr">
        <is>
          <t>VEH-KOL-015</t>
        </is>
      </c>
      <c r="D874" s="16" t="n">
        <v>5</v>
      </c>
      <c r="E874" s="16" t="inlineStr">
        <is>
          <t>ORD-KOL-001336</t>
        </is>
      </c>
      <c r="F874" s="16" t="inlineStr">
        <is>
          <t>ECOM_B2C</t>
        </is>
      </c>
      <c r="G874" s="16" t="inlineStr">
        <is>
          <t>North Kolkata</t>
        </is>
      </c>
      <c r="H874" s="16" t="n">
        <v>4.12</v>
      </c>
      <c r="I874" s="16" t="n">
        <v>1080</v>
      </c>
      <c r="J874" s="16" t="n">
        <v>1200</v>
      </c>
      <c r="K874" s="18" t="n">
        <v>1116</v>
      </c>
      <c r="L874" s="18" t="n">
        <v>0</v>
      </c>
      <c r="M874" s="16" t="inlineStr">
        <is>
          <t>Yes</t>
        </is>
      </c>
      <c r="N874" s="17" t="n">
        <v>3.424</v>
      </c>
      <c r="O874" s="17" t="n">
        <v>4.622</v>
      </c>
      <c r="P874" s="18" t="n">
        <v>21.4</v>
      </c>
    </row>
    <row r="875">
      <c r="B875" s="10" t="inlineStr">
        <is>
          <t>KOL</t>
        </is>
      </c>
      <c r="C875" s="10" t="inlineStr">
        <is>
          <t>VEH-KOL-015</t>
        </is>
      </c>
      <c r="D875" s="10" t="n">
        <v>6</v>
      </c>
      <c r="E875" s="10" t="inlineStr">
        <is>
          <t>ORD-KOL-001358</t>
        </is>
      </c>
      <c r="F875" s="10" t="inlineStr">
        <is>
          <t>ECOM_B2C</t>
        </is>
      </c>
      <c r="G875" s="10" t="inlineStr">
        <is>
          <t>East Kolkata</t>
        </is>
      </c>
      <c r="H875" s="10" t="n">
        <v>3.55</v>
      </c>
      <c r="I875" s="10" t="n">
        <v>1080</v>
      </c>
      <c r="J875" s="10" t="n">
        <v>1260</v>
      </c>
      <c r="K875" s="12" t="n">
        <v>1161.7</v>
      </c>
      <c r="L875" s="12" t="n">
        <v>0</v>
      </c>
      <c r="M875" s="10" t="inlineStr">
        <is>
          <t>Yes</t>
        </is>
      </c>
      <c r="N875" s="11" t="n">
        <v>6.758</v>
      </c>
      <c r="O875" s="11" t="n">
        <v>9.124000000000001</v>
      </c>
      <c r="P875" s="12" t="n">
        <v>41.7</v>
      </c>
    </row>
    <row r="876">
      <c r="B876" s="16" t="inlineStr">
        <is>
          <t>KOL</t>
        </is>
      </c>
      <c r="C876" s="16" t="inlineStr">
        <is>
          <t>VEH-KOL-015</t>
        </is>
      </c>
      <c r="D876" s="16" t="n">
        <v>7</v>
      </c>
      <c r="E876" s="16" t="inlineStr">
        <is>
          <t>ORD-KOL-001419</t>
        </is>
      </c>
      <c r="F876" s="16" t="inlineStr">
        <is>
          <t>ECOM_B2C</t>
        </is>
      </c>
      <c r="G876" s="16" t="inlineStr">
        <is>
          <t>East Kolkata</t>
        </is>
      </c>
      <c r="H876" s="16" t="n">
        <v>2.04</v>
      </c>
      <c r="I876" s="16" t="n">
        <v>1080</v>
      </c>
      <c r="J876" s="16" t="n">
        <v>1260</v>
      </c>
      <c r="K876" s="18" t="n">
        <v>1170.8</v>
      </c>
      <c r="L876" s="18" t="n">
        <v>0</v>
      </c>
      <c r="M876" s="16" t="inlineStr">
        <is>
          <t>Yes</t>
        </is>
      </c>
      <c r="N876" s="17" t="n">
        <v>0.825</v>
      </c>
      <c r="O876" s="17" t="n">
        <v>1.114</v>
      </c>
      <c r="P876" s="18" t="n">
        <v>5.1</v>
      </c>
    </row>
    <row r="877">
      <c r="B877" s="10" t="inlineStr">
        <is>
          <t>KOL</t>
        </is>
      </c>
      <c r="C877" s="10" t="inlineStr">
        <is>
          <t>VEH-KOL-015</t>
        </is>
      </c>
      <c r="D877" s="10" t="n">
        <v>8</v>
      </c>
      <c r="E877" s="10" t="inlineStr">
        <is>
          <t>ORD-KOL-001360</t>
        </is>
      </c>
      <c r="F877" s="10" t="inlineStr">
        <is>
          <t>ECOM_B2C</t>
        </is>
      </c>
      <c r="G877" s="10" t="inlineStr">
        <is>
          <t>East Kolkata</t>
        </is>
      </c>
      <c r="H877" s="10" t="n">
        <v>4.36</v>
      </c>
      <c r="I877" s="10" t="n">
        <v>1080</v>
      </c>
      <c r="J877" s="10" t="n">
        <v>1260</v>
      </c>
      <c r="K877" s="12" t="n">
        <v>1179</v>
      </c>
      <c r="L877" s="12" t="n">
        <v>0</v>
      </c>
      <c r="M877" s="10" t="inlineStr">
        <is>
          <t>Yes</t>
        </is>
      </c>
      <c r="N877" s="11" t="n">
        <v>0.681</v>
      </c>
      <c r="O877" s="11" t="n">
        <v>0.92</v>
      </c>
      <c r="P877" s="12" t="n">
        <v>4.2</v>
      </c>
    </row>
    <row r="878">
      <c r="B878" s="16" t="inlineStr">
        <is>
          <t>KOL</t>
        </is>
      </c>
      <c r="C878" s="16" t="inlineStr">
        <is>
          <t>VEH-KOL-016</t>
        </is>
      </c>
      <c r="D878" s="16" t="n">
        <v>1</v>
      </c>
      <c r="E878" s="16" t="inlineStr">
        <is>
          <t>ORD-KOL-001420</t>
        </is>
      </c>
      <c r="F878" s="16" t="inlineStr">
        <is>
          <t>ECOM_B2C</t>
        </is>
      </c>
      <c r="G878" s="16" t="inlineStr">
        <is>
          <t>Central Kolkata</t>
        </is>
      </c>
      <c r="H878" s="16" t="n">
        <v>2.51</v>
      </c>
      <c r="I878" s="16" t="n">
        <v>600</v>
      </c>
      <c r="J878" s="16" t="n">
        <v>720</v>
      </c>
      <c r="K878" s="18" t="n">
        <v>600</v>
      </c>
      <c r="L878" s="18" t="n">
        <v>0</v>
      </c>
      <c r="M878" s="16" t="inlineStr">
        <is>
          <t>Yes</t>
        </is>
      </c>
      <c r="N878" s="17" t="n">
        <v>6.558</v>
      </c>
      <c r="O878" s="17" t="n">
        <v>8.853</v>
      </c>
      <c r="P878" s="18" t="n">
        <v>34.3</v>
      </c>
    </row>
    <row r="879">
      <c r="B879" s="10" t="inlineStr">
        <is>
          <t>KOL</t>
        </is>
      </c>
      <c r="C879" s="10" t="inlineStr">
        <is>
          <t>VEH-KOL-016</t>
        </is>
      </c>
      <c r="D879" s="10" t="n">
        <v>2</v>
      </c>
      <c r="E879" s="10" t="inlineStr">
        <is>
          <t>ORD-KOL-001375</t>
        </is>
      </c>
      <c r="F879" s="10" t="inlineStr">
        <is>
          <t>ECOM_B2C</t>
        </is>
      </c>
      <c r="G879" s="10" t="inlineStr">
        <is>
          <t>Central Kolkata</t>
        </is>
      </c>
      <c r="H879" s="10" t="n">
        <v>2.59</v>
      </c>
      <c r="I879" s="10" t="n">
        <v>600</v>
      </c>
      <c r="J879" s="10" t="n">
        <v>720</v>
      </c>
      <c r="K879" s="12" t="n">
        <v>617.8</v>
      </c>
      <c r="L879" s="12" t="n">
        <v>0</v>
      </c>
      <c r="M879" s="10" t="inlineStr">
        <is>
          <t>Yes</t>
        </is>
      </c>
      <c r="N879" s="11" t="n">
        <v>2.637</v>
      </c>
      <c r="O879" s="11" t="n">
        <v>3.56</v>
      </c>
      <c r="P879" s="12" t="n">
        <v>13.8</v>
      </c>
    </row>
    <row r="880">
      <c r="B880" s="16" t="inlineStr">
        <is>
          <t>KOL</t>
        </is>
      </c>
      <c r="C880" s="16" t="inlineStr">
        <is>
          <t>VEH-KOL-016</t>
        </is>
      </c>
      <c r="D880" s="16" t="n">
        <v>3</v>
      </c>
      <c r="E880" s="16" t="inlineStr">
        <is>
          <t>ORD-KOL-001369</t>
        </is>
      </c>
      <c r="F880" s="16" t="inlineStr">
        <is>
          <t>ECOM_B2C</t>
        </is>
      </c>
      <c r="G880" s="16" t="inlineStr">
        <is>
          <t>South Kolkata</t>
        </is>
      </c>
      <c r="H880" s="16" t="n">
        <v>1.26</v>
      </c>
      <c r="I880" s="16" t="n">
        <v>540</v>
      </c>
      <c r="J880" s="16" t="n">
        <v>720</v>
      </c>
      <c r="K880" s="18" t="n">
        <v>646.1</v>
      </c>
      <c r="L880" s="18" t="n">
        <v>0</v>
      </c>
      <c r="M880" s="16" t="inlineStr">
        <is>
          <t>Yes</t>
        </is>
      </c>
      <c r="N880" s="17" t="n">
        <v>4.733</v>
      </c>
      <c r="O880" s="17" t="n">
        <v>6.39</v>
      </c>
      <c r="P880" s="18" t="n">
        <v>24.3</v>
      </c>
    </row>
    <row r="881">
      <c r="B881" s="10" t="inlineStr">
        <is>
          <t>KOL</t>
        </is>
      </c>
      <c r="C881" s="10" t="inlineStr">
        <is>
          <t>VEH-KOL-016</t>
        </is>
      </c>
      <c r="D881" s="10" t="n">
        <v>4</v>
      </c>
      <c r="E881" s="10" t="inlineStr">
        <is>
          <t>ORD-KOL-001391</t>
        </is>
      </c>
      <c r="F881" s="10" t="inlineStr">
        <is>
          <t>ECOM_B2C</t>
        </is>
      </c>
      <c r="G881" s="10" t="inlineStr">
        <is>
          <t>East Kolkata</t>
        </is>
      </c>
      <c r="H881" s="10" t="n">
        <v>2.47</v>
      </c>
      <c r="I881" s="10" t="n">
        <v>540</v>
      </c>
      <c r="J881" s="10" t="n">
        <v>720</v>
      </c>
      <c r="K881" s="12" t="n">
        <v>657.7</v>
      </c>
      <c r="L881" s="12" t="n">
        <v>0</v>
      </c>
      <c r="M881" s="10" t="inlineStr">
        <is>
          <t>Yes</t>
        </is>
      </c>
      <c r="N881" s="11" t="n">
        <v>1.505</v>
      </c>
      <c r="O881" s="11" t="n">
        <v>2.032</v>
      </c>
      <c r="P881" s="12" t="n">
        <v>7.6</v>
      </c>
    </row>
    <row r="882">
      <c r="B882" s="16" t="inlineStr">
        <is>
          <t>KOL</t>
        </is>
      </c>
      <c r="C882" s="16" t="inlineStr">
        <is>
          <t>VEH-KOL-016</t>
        </is>
      </c>
      <c r="D882" s="16" t="n">
        <v>5</v>
      </c>
      <c r="E882" s="16" t="inlineStr">
        <is>
          <t>ORD-KOL-001380</t>
        </is>
      </c>
      <c r="F882" s="16" t="inlineStr">
        <is>
          <t>ECOM_B2C</t>
        </is>
      </c>
      <c r="G882" s="16" t="inlineStr">
        <is>
          <t>East Kolkata</t>
        </is>
      </c>
      <c r="H882" s="16" t="n">
        <v>3.02</v>
      </c>
      <c r="I882" s="16" t="n">
        <v>540</v>
      </c>
      <c r="J882" s="16" t="n">
        <v>720</v>
      </c>
      <c r="K882" s="18" t="n">
        <v>665.6</v>
      </c>
      <c r="L882" s="18" t="n">
        <v>0</v>
      </c>
      <c r="M882" s="16" t="inlineStr">
        <is>
          <t>Yes</t>
        </is>
      </c>
      <c r="N882" s="17" t="n">
        <v>1.247</v>
      </c>
      <c r="O882" s="17" t="n">
        <v>1.684</v>
      </c>
      <c r="P882" s="18" t="n">
        <v>3.8</v>
      </c>
    </row>
    <row r="883">
      <c r="B883" s="10" t="inlineStr">
        <is>
          <t>KOL</t>
        </is>
      </c>
      <c r="C883" s="10" t="inlineStr">
        <is>
          <t>VEH-KOL-016</t>
        </is>
      </c>
      <c r="D883" s="10" t="n">
        <v>6</v>
      </c>
      <c r="E883" s="10" t="inlineStr">
        <is>
          <t>ORD-KOL-001396</t>
        </is>
      </c>
      <c r="F883" s="10" t="inlineStr">
        <is>
          <t>ECOM_B2C</t>
        </is>
      </c>
      <c r="G883" s="10" t="inlineStr">
        <is>
          <t>South Kolkata</t>
        </is>
      </c>
      <c r="H883" s="10" t="n">
        <v>2.07</v>
      </c>
      <c r="I883" s="10" t="n">
        <v>540</v>
      </c>
      <c r="J883" s="10" t="n">
        <v>720</v>
      </c>
      <c r="K883" s="12" t="n">
        <v>677.7</v>
      </c>
      <c r="L883" s="12" t="n">
        <v>0</v>
      </c>
      <c r="M883" s="10" t="inlineStr">
        <is>
          <t>Yes</t>
        </is>
      </c>
      <c r="N883" s="11" t="n">
        <v>2.582</v>
      </c>
      <c r="O883" s="11" t="n">
        <v>3.486</v>
      </c>
      <c r="P883" s="12" t="n">
        <v>8.1</v>
      </c>
    </row>
    <row r="884">
      <c r="B884" s="16" t="inlineStr">
        <is>
          <t>KOL</t>
        </is>
      </c>
      <c r="C884" s="16" t="inlineStr">
        <is>
          <t>VEH-KOL-016</t>
        </is>
      </c>
      <c r="D884" s="16" t="n">
        <v>7</v>
      </c>
      <c r="E884" s="16" t="inlineStr">
        <is>
          <t>ORD-KOL-001372</t>
        </is>
      </c>
      <c r="F884" s="16" t="inlineStr">
        <is>
          <t>ECOM_B2C</t>
        </is>
      </c>
      <c r="G884" s="16" t="inlineStr">
        <is>
          <t>South Kolkata</t>
        </is>
      </c>
      <c r="H884" s="16" t="n">
        <v>2.07</v>
      </c>
      <c r="I884" s="16" t="n">
        <v>540</v>
      </c>
      <c r="J884" s="16" t="n">
        <v>720</v>
      </c>
      <c r="K884" s="18" t="n">
        <v>692.1</v>
      </c>
      <c r="L884" s="18" t="n">
        <v>0</v>
      </c>
      <c r="M884" s="16" t="inlineStr">
        <is>
          <t>Yes</t>
        </is>
      </c>
      <c r="N884" s="17" t="n">
        <v>3.325</v>
      </c>
      <c r="O884" s="17" t="n">
        <v>4.489</v>
      </c>
      <c r="P884" s="18" t="n">
        <v>10.4</v>
      </c>
    </row>
    <row r="885">
      <c r="B885" s="10" t="inlineStr">
        <is>
          <t>KOL</t>
        </is>
      </c>
      <c r="C885" s="10" t="inlineStr">
        <is>
          <t>VEH-KOL-016</t>
        </is>
      </c>
      <c r="D885" s="10" t="n">
        <v>8</v>
      </c>
      <c r="E885" s="10" t="inlineStr">
        <is>
          <t>ORD-KOL-001394</t>
        </is>
      </c>
      <c r="F885" s="10" t="inlineStr">
        <is>
          <t>ECOM_B2C</t>
        </is>
      </c>
      <c r="G885" s="10" t="inlineStr">
        <is>
          <t>South Kolkata</t>
        </is>
      </c>
      <c r="H885" s="10" t="n">
        <v>1.16</v>
      </c>
      <c r="I885" s="10" t="n">
        <v>600</v>
      </c>
      <c r="J885" s="10" t="n">
        <v>720</v>
      </c>
      <c r="K885" s="12" t="n">
        <v>699</v>
      </c>
      <c r="L885" s="12" t="n">
        <v>0</v>
      </c>
      <c r="M885" s="10" t="inlineStr">
        <is>
          <t>Yes</t>
        </is>
      </c>
      <c r="N885" s="11" t="n">
        <v>0.895</v>
      </c>
      <c r="O885" s="11" t="n">
        <v>1.208</v>
      </c>
      <c r="P885" s="12" t="n">
        <v>2.8</v>
      </c>
    </row>
    <row r="886">
      <c r="B886" s="16" t="inlineStr">
        <is>
          <t>KOL</t>
        </is>
      </c>
      <c r="C886" s="16" t="inlineStr">
        <is>
          <t>VEH-KOL-016</t>
        </is>
      </c>
      <c r="D886" s="16" t="n">
        <v>9</v>
      </c>
      <c r="E886" s="16" t="inlineStr">
        <is>
          <t>ORD-KOL-001400</t>
        </is>
      </c>
      <c r="F886" s="16" t="inlineStr">
        <is>
          <t>ECOM_B2C</t>
        </is>
      </c>
      <c r="G886" s="16" t="inlineStr">
        <is>
          <t>South Kolkata</t>
        </is>
      </c>
      <c r="H886" s="16" t="n">
        <v>4.58</v>
      </c>
      <c r="I886" s="16" t="n">
        <v>600</v>
      </c>
      <c r="J886" s="16" t="n">
        <v>720</v>
      </c>
      <c r="K886" s="18" t="n">
        <v>706</v>
      </c>
      <c r="L886" s="18" t="n">
        <v>0</v>
      </c>
      <c r="M886" s="16" t="inlineStr">
        <is>
          <t>Yes</t>
        </is>
      </c>
      <c r="N886" s="17" t="n">
        <v>0.974</v>
      </c>
      <c r="O886" s="17" t="n">
        <v>1.315</v>
      </c>
      <c r="P886" s="18" t="n">
        <v>3.1</v>
      </c>
    </row>
    <row r="887">
      <c r="B887" s="10" t="inlineStr">
        <is>
          <t>KOL</t>
        </is>
      </c>
      <c r="C887" s="10" t="inlineStr">
        <is>
          <t>VEH-KOL-016</t>
        </is>
      </c>
      <c r="D887" s="10" t="n">
        <v>10</v>
      </c>
      <c r="E887" s="10" t="inlineStr">
        <is>
          <t>ORD-KOL-001382</t>
        </is>
      </c>
      <c r="F887" s="10" t="inlineStr">
        <is>
          <t>ECOM_B2C</t>
        </is>
      </c>
      <c r="G887" s="10" t="inlineStr">
        <is>
          <t>South Kolkata</t>
        </is>
      </c>
      <c r="H887" s="10" t="n">
        <v>4.58</v>
      </c>
      <c r="I887" s="10" t="n">
        <v>720</v>
      </c>
      <c r="J887" s="10" t="n">
        <v>900</v>
      </c>
      <c r="K887" s="12" t="n">
        <v>710</v>
      </c>
      <c r="L887" s="12" t="n">
        <v>0</v>
      </c>
      <c r="M887" s="10" t="inlineStr">
        <is>
          <t>Yes</t>
        </is>
      </c>
      <c r="N887" s="11" t="n">
        <v>0</v>
      </c>
      <c r="O887" s="11" t="n">
        <v>0</v>
      </c>
      <c r="P887" s="12" t="n">
        <v>0</v>
      </c>
    </row>
    <row r="888">
      <c r="B888" s="16" t="inlineStr">
        <is>
          <t>KOL</t>
        </is>
      </c>
      <c r="C888" s="16" t="inlineStr">
        <is>
          <t>VEH-KOL-016</t>
        </is>
      </c>
      <c r="D888" s="16" t="n">
        <v>11</v>
      </c>
      <c r="E888" s="16" t="inlineStr">
        <is>
          <t>ORD-KOL-001357</t>
        </is>
      </c>
      <c r="F888" s="16" t="inlineStr">
        <is>
          <t>ECOM_B2C</t>
        </is>
      </c>
      <c r="G888" s="16" t="inlineStr">
        <is>
          <t>South Kolkata</t>
        </is>
      </c>
      <c r="H888" s="16" t="n">
        <v>2.23</v>
      </c>
      <c r="I888" s="16" t="n">
        <v>720</v>
      </c>
      <c r="J888" s="16" t="n">
        <v>900</v>
      </c>
      <c r="K888" s="18" t="n">
        <v>730.2</v>
      </c>
      <c r="L888" s="18" t="n">
        <v>0</v>
      </c>
      <c r="M888" s="16" t="inlineStr">
        <is>
          <t>Yes</t>
        </is>
      </c>
      <c r="N888" s="17" t="n">
        <v>1.986</v>
      </c>
      <c r="O888" s="17" t="n">
        <v>2.682</v>
      </c>
      <c r="P888" s="18" t="n">
        <v>6.2</v>
      </c>
    </row>
    <row r="889">
      <c r="B889" s="10" t="inlineStr">
        <is>
          <t>KOL</t>
        </is>
      </c>
      <c r="C889" s="10" t="inlineStr">
        <is>
          <t>VEH-KOL-016</t>
        </is>
      </c>
      <c r="D889" s="10" t="n">
        <v>12</v>
      </c>
      <c r="E889" s="10" t="inlineStr">
        <is>
          <t>ORD-KOL-001407</t>
        </is>
      </c>
      <c r="F889" s="10" t="inlineStr">
        <is>
          <t>ECOM_B2C</t>
        </is>
      </c>
      <c r="G889" s="10" t="inlineStr">
        <is>
          <t>East Kolkata</t>
        </is>
      </c>
      <c r="H889" s="10" t="n">
        <v>2.69</v>
      </c>
      <c r="I889" s="10" t="n">
        <v>720</v>
      </c>
      <c r="J889" s="10" t="n">
        <v>900</v>
      </c>
      <c r="K889" s="12" t="n">
        <v>743.5</v>
      </c>
      <c r="L889" s="12" t="n">
        <v>0</v>
      </c>
      <c r="M889" s="10" t="inlineStr">
        <is>
          <t>Yes</t>
        </is>
      </c>
      <c r="N889" s="11" t="n">
        <v>2.984</v>
      </c>
      <c r="O889" s="11" t="n">
        <v>4.029</v>
      </c>
      <c r="P889" s="12" t="n">
        <v>9.199999999999999</v>
      </c>
    </row>
    <row r="890">
      <c r="B890" s="16" t="inlineStr">
        <is>
          <t>KOL</t>
        </is>
      </c>
      <c r="C890" s="16" t="inlineStr">
        <is>
          <t>VEH-KOL-016</t>
        </is>
      </c>
      <c r="D890" s="16" t="n">
        <v>13</v>
      </c>
      <c r="E890" s="16" t="inlineStr">
        <is>
          <t>ORD-KOL-001359</t>
        </is>
      </c>
      <c r="F890" s="16" t="inlineStr">
        <is>
          <t>ECOM_B2C</t>
        </is>
      </c>
      <c r="G890" s="16" t="inlineStr">
        <is>
          <t>East Kolkata</t>
        </is>
      </c>
      <c r="H890" s="16" t="n">
        <v>0.9399999999999999</v>
      </c>
      <c r="I890" s="16" t="n">
        <v>720</v>
      </c>
      <c r="J890" s="16" t="n">
        <v>900</v>
      </c>
      <c r="K890" s="18" t="n">
        <v>747.5</v>
      </c>
      <c r="L890" s="18" t="n">
        <v>0</v>
      </c>
      <c r="M890" s="16" t="inlineStr">
        <is>
          <t>Yes</t>
        </is>
      </c>
      <c r="N890" s="17" t="n">
        <v>0</v>
      </c>
      <c r="O890" s="17" t="n">
        <v>0</v>
      </c>
      <c r="P890" s="18" t="n">
        <v>0</v>
      </c>
    </row>
    <row r="891">
      <c r="B891" s="10" t="inlineStr">
        <is>
          <t>KOL</t>
        </is>
      </c>
      <c r="C891" s="10" t="inlineStr">
        <is>
          <t>VEH-KOL-017</t>
        </is>
      </c>
      <c r="D891" s="10" t="n">
        <v>1</v>
      </c>
      <c r="E891" s="10" t="inlineStr">
        <is>
          <t>ORD-KOL-001373</t>
        </is>
      </c>
      <c r="F891" s="10" t="inlineStr">
        <is>
          <t>ECOM_B2C</t>
        </is>
      </c>
      <c r="G891" s="10" t="inlineStr">
        <is>
          <t>East Kolkata</t>
        </is>
      </c>
      <c r="H891" s="10" t="n">
        <v>4.64</v>
      </c>
      <c r="I891" s="10" t="n">
        <v>900</v>
      </c>
      <c r="J891" s="10" t="n">
        <v>1080</v>
      </c>
      <c r="K891" s="12" t="n">
        <v>900</v>
      </c>
      <c r="L891" s="12" t="n">
        <v>0</v>
      </c>
      <c r="M891" s="10" t="inlineStr">
        <is>
          <t>Yes</t>
        </is>
      </c>
      <c r="N891" s="11" t="n">
        <v>8.288</v>
      </c>
      <c r="O891" s="11" t="n">
        <v>11.188</v>
      </c>
      <c r="P891" s="12" t="n">
        <v>25.6</v>
      </c>
    </row>
    <row r="892">
      <c r="B892" s="16" t="inlineStr">
        <is>
          <t>KOL</t>
        </is>
      </c>
      <c r="C892" s="16" t="inlineStr">
        <is>
          <t>VEH-KOL-017</t>
        </is>
      </c>
      <c r="D892" s="16" t="n">
        <v>2</v>
      </c>
      <c r="E892" s="16" t="inlineStr">
        <is>
          <t>ORD-KOL-001352</t>
        </is>
      </c>
      <c r="F892" s="16" t="inlineStr">
        <is>
          <t>ECOM_B2C</t>
        </is>
      </c>
      <c r="G892" s="16" t="inlineStr">
        <is>
          <t>South Kolkata</t>
        </is>
      </c>
      <c r="H892" s="16" t="n">
        <v>1.95</v>
      </c>
      <c r="I892" s="16" t="n">
        <v>900</v>
      </c>
      <c r="J892" s="16" t="n">
        <v>1080</v>
      </c>
      <c r="K892" s="18" t="n">
        <v>919.2</v>
      </c>
      <c r="L892" s="18" t="n">
        <v>0</v>
      </c>
      <c r="M892" s="16" t="inlineStr">
        <is>
          <t>Yes</t>
        </is>
      </c>
      <c r="N892" s="17" t="n">
        <v>4.827</v>
      </c>
      <c r="O892" s="17" t="n">
        <v>6.517</v>
      </c>
      <c r="P892" s="18" t="n">
        <v>15.2</v>
      </c>
    </row>
    <row r="893">
      <c r="B893" s="10" t="inlineStr">
        <is>
          <t>KOL</t>
        </is>
      </c>
      <c r="C893" s="10" t="inlineStr">
        <is>
          <t>VEH-KOL-017</t>
        </is>
      </c>
      <c r="D893" s="10" t="n">
        <v>3</v>
      </c>
      <c r="E893" s="10" t="inlineStr">
        <is>
          <t>ORD-KOL-001399</t>
        </is>
      </c>
      <c r="F893" s="10" t="inlineStr">
        <is>
          <t>ECOM_B2C</t>
        </is>
      </c>
      <c r="G893" s="10" t="inlineStr">
        <is>
          <t>South Kolkata</t>
        </is>
      </c>
      <c r="H893" s="10" t="n">
        <v>1.6</v>
      </c>
      <c r="I893" s="10" t="n">
        <v>900</v>
      </c>
      <c r="J893" s="10" t="n">
        <v>1080</v>
      </c>
      <c r="K893" s="12" t="n">
        <v>924</v>
      </c>
      <c r="L893" s="12" t="n">
        <v>0</v>
      </c>
      <c r="M893" s="10" t="inlineStr">
        <is>
          <t>Yes</t>
        </is>
      </c>
      <c r="N893" s="11" t="n">
        <v>0.253</v>
      </c>
      <c r="O893" s="11" t="n">
        <v>0.342</v>
      </c>
      <c r="P893" s="12" t="n">
        <v>0.8</v>
      </c>
    </row>
    <row r="894">
      <c r="B894" s="16" t="inlineStr">
        <is>
          <t>KOL</t>
        </is>
      </c>
      <c r="C894" s="16" t="inlineStr">
        <is>
          <t>VEH-KOL-017</t>
        </is>
      </c>
      <c r="D894" s="16" t="n">
        <v>4</v>
      </c>
      <c r="E894" s="16" t="inlineStr">
        <is>
          <t>ORD-KOL-001351</t>
        </is>
      </c>
      <c r="F894" s="16" t="inlineStr">
        <is>
          <t>ECOM_B2C</t>
        </is>
      </c>
      <c r="G894" s="16" t="inlineStr">
        <is>
          <t>South Kolkata</t>
        </is>
      </c>
      <c r="H894" s="16" t="n">
        <v>5.74</v>
      </c>
      <c r="I894" s="16" t="n">
        <v>1080</v>
      </c>
      <c r="J894" s="16" t="n">
        <v>1260</v>
      </c>
      <c r="K894" s="18" t="n">
        <v>928</v>
      </c>
      <c r="L894" s="18" t="n">
        <v>0</v>
      </c>
      <c r="M894" s="16" t="inlineStr">
        <is>
          <t>Yes</t>
        </is>
      </c>
      <c r="N894" s="17" t="n">
        <v>0</v>
      </c>
      <c r="O894" s="17" t="n">
        <v>0</v>
      </c>
      <c r="P894" s="18" t="n">
        <v>0</v>
      </c>
    </row>
    <row r="895">
      <c r="B895" s="10" t="inlineStr">
        <is>
          <t>KOL</t>
        </is>
      </c>
      <c r="C895" s="10" t="inlineStr">
        <is>
          <t>VEH-KOL-017</t>
        </is>
      </c>
      <c r="D895" s="10" t="n">
        <v>5</v>
      </c>
      <c r="E895" s="10" t="inlineStr">
        <is>
          <t>ORD-KOL-001364</t>
        </is>
      </c>
      <c r="F895" s="10" t="inlineStr">
        <is>
          <t>ECOM_B2C</t>
        </is>
      </c>
      <c r="G895" s="10" t="inlineStr">
        <is>
          <t>South Kolkata</t>
        </is>
      </c>
      <c r="H895" s="10" t="n">
        <v>4.7</v>
      </c>
      <c r="I895" s="10" t="n">
        <v>1080</v>
      </c>
      <c r="J895" s="10" t="n">
        <v>1260</v>
      </c>
      <c r="K895" s="12" t="n">
        <v>1091.6</v>
      </c>
      <c r="L895" s="12" t="n">
        <v>0</v>
      </c>
      <c r="M895" s="10" t="inlineStr">
        <is>
          <t>Yes</t>
        </is>
      </c>
      <c r="N895" s="11" t="n">
        <v>1.216</v>
      </c>
      <c r="O895" s="11" t="n">
        <v>1.641</v>
      </c>
      <c r="P895" s="12" t="n">
        <v>7.6</v>
      </c>
    </row>
    <row r="896">
      <c r="B896" s="16" t="inlineStr">
        <is>
          <t>KOL</t>
        </is>
      </c>
      <c r="C896" s="16" t="inlineStr">
        <is>
          <t>VEH-KOL-017</t>
        </is>
      </c>
      <c r="D896" s="16" t="n">
        <v>6</v>
      </c>
      <c r="E896" s="16" t="inlineStr">
        <is>
          <t>ORD-KOL-001389</t>
        </is>
      </c>
      <c r="F896" s="16" t="inlineStr">
        <is>
          <t>ECOM_B2C</t>
        </is>
      </c>
      <c r="G896" s="16" t="inlineStr">
        <is>
          <t>South Kolkata</t>
        </is>
      </c>
      <c r="H896" s="16" t="n">
        <v>3.38</v>
      </c>
      <c r="I896" s="16" t="n">
        <v>1080</v>
      </c>
      <c r="J896" s="16" t="n">
        <v>1200</v>
      </c>
      <c r="K896" s="18" t="n">
        <v>1114.7</v>
      </c>
      <c r="L896" s="18" t="n">
        <v>0</v>
      </c>
      <c r="M896" s="16" t="inlineStr">
        <is>
          <t>Yes</t>
        </is>
      </c>
      <c r="N896" s="17" t="n">
        <v>3.041</v>
      </c>
      <c r="O896" s="17" t="n">
        <v>4.105</v>
      </c>
      <c r="P896" s="18" t="n">
        <v>19.1</v>
      </c>
    </row>
    <row r="897">
      <c r="B897" s="10" t="inlineStr">
        <is>
          <t>KOL</t>
        </is>
      </c>
      <c r="C897" s="10" t="inlineStr">
        <is>
          <t>VEH-KOL-017</t>
        </is>
      </c>
      <c r="D897" s="10" t="n">
        <v>7</v>
      </c>
      <c r="E897" s="10" t="inlineStr">
        <is>
          <t>ORD-KOL-001384</t>
        </is>
      </c>
      <c r="F897" s="10" t="inlineStr">
        <is>
          <t>ECOM_B2C</t>
        </is>
      </c>
      <c r="G897" s="10" t="inlineStr">
        <is>
          <t>Central Kolkata</t>
        </is>
      </c>
      <c r="H897" s="10" t="n">
        <v>1.23</v>
      </c>
      <c r="I897" s="10" t="n">
        <v>1080</v>
      </c>
      <c r="J897" s="10" t="n">
        <v>1260</v>
      </c>
      <c r="K897" s="12" t="n">
        <v>1141.7</v>
      </c>
      <c r="L897" s="12" t="n">
        <v>0</v>
      </c>
      <c r="M897" s="10" t="inlineStr">
        <is>
          <t>Yes</t>
        </is>
      </c>
      <c r="N897" s="11" t="n">
        <v>3.583</v>
      </c>
      <c r="O897" s="11" t="n">
        <v>4.837</v>
      </c>
      <c r="P897" s="12" t="n">
        <v>22.9</v>
      </c>
    </row>
    <row r="898">
      <c r="B898" s="16" t="inlineStr">
        <is>
          <t>KOL</t>
        </is>
      </c>
      <c r="C898" s="16" t="inlineStr">
        <is>
          <t>VEH-KOL-017</t>
        </is>
      </c>
      <c r="D898" s="16" t="n">
        <v>8</v>
      </c>
      <c r="E898" s="16" t="inlineStr">
        <is>
          <t>ORD-KOL-001356</t>
        </is>
      </c>
      <c r="F898" s="16" t="inlineStr">
        <is>
          <t>ECOM_B2C</t>
        </is>
      </c>
      <c r="G898" s="16" t="inlineStr">
        <is>
          <t>Central Kolkata</t>
        </is>
      </c>
      <c r="H898" s="16" t="n">
        <v>1.31</v>
      </c>
      <c r="I898" s="16" t="n">
        <v>1080</v>
      </c>
      <c r="J898" s="16" t="n">
        <v>1260</v>
      </c>
      <c r="K898" s="18" t="n">
        <v>1149.4</v>
      </c>
      <c r="L898" s="18" t="n">
        <v>0</v>
      </c>
      <c r="M898" s="16" t="inlineStr">
        <is>
          <t>Yes</t>
        </is>
      </c>
      <c r="N898" s="17" t="n">
        <v>0.577</v>
      </c>
      <c r="O898" s="17" t="n">
        <v>0.779</v>
      </c>
      <c r="P898" s="18" t="n">
        <v>3.7</v>
      </c>
    </row>
    <row r="899">
      <c r="B899" s="10" t="inlineStr">
        <is>
          <t>KOL</t>
        </is>
      </c>
      <c r="C899" s="10" t="inlineStr">
        <is>
          <t>VEH-KOL-017</t>
        </is>
      </c>
      <c r="D899" s="10" t="n">
        <v>9</v>
      </c>
      <c r="E899" s="10" t="inlineStr">
        <is>
          <t>ORD-KOL-001406</t>
        </is>
      </c>
      <c r="F899" s="10" t="inlineStr">
        <is>
          <t>ECOM_B2C</t>
        </is>
      </c>
      <c r="G899" s="10" t="inlineStr">
        <is>
          <t>Central Kolkata</t>
        </is>
      </c>
      <c r="H899" s="10" t="n">
        <v>1.35</v>
      </c>
      <c r="I899" s="10" t="n">
        <v>1080</v>
      </c>
      <c r="J899" s="10" t="n">
        <v>1200</v>
      </c>
      <c r="K899" s="12" t="n">
        <v>1159.2</v>
      </c>
      <c r="L899" s="12" t="n">
        <v>0</v>
      </c>
      <c r="M899" s="10" t="inlineStr">
        <is>
          <t>Yes</t>
        </is>
      </c>
      <c r="N899" s="11" t="n">
        <v>0.907</v>
      </c>
      <c r="O899" s="11" t="n">
        <v>1.224</v>
      </c>
      <c r="P899" s="12" t="n">
        <v>5.8</v>
      </c>
    </row>
    <row r="900">
      <c r="B900" s="16" t="inlineStr">
        <is>
          <t>KOL</t>
        </is>
      </c>
      <c r="C900" s="16" t="inlineStr">
        <is>
          <t>VEH-KOL-017</t>
        </is>
      </c>
      <c r="D900" s="16" t="n">
        <v>10</v>
      </c>
      <c r="E900" s="16" t="inlineStr">
        <is>
          <t>ORD-KOL-001415</t>
        </is>
      </c>
      <c r="F900" s="16" t="inlineStr">
        <is>
          <t>ECOM_B2C</t>
        </is>
      </c>
      <c r="G900" s="16" t="inlineStr">
        <is>
          <t>Central Kolkata</t>
        </is>
      </c>
      <c r="H900" s="16" t="n">
        <v>5</v>
      </c>
      <c r="I900" s="16" t="n">
        <v>1080</v>
      </c>
      <c r="J900" s="16" t="n">
        <v>1260</v>
      </c>
      <c r="K900" s="18" t="n">
        <v>1172</v>
      </c>
      <c r="L900" s="18" t="n">
        <v>0</v>
      </c>
      <c r="M900" s="16" t="inlineStr">
        <is>
          <t>Yes</t>
        </is>
      </c>
      <c r="N900" s="17" t="n">
        <v>1.387</v>
      </c>
      <c r="O900" s="17" t="n">
        <v>1.872</v>
      </c>
      <c r="P900" s="18" t="n">
        <v>8.9</v>
      </c>
    </row>
    <row r="901">
      <c r="B901" s="10" t="inlineStr">
        <is>
          <t>KOL</t>
        </is>
      </c>
      <c r="C901" s="10" t="inlineStr">
        <is>
          <t>VEH-KOL-017</t>
        </is>
      </c>
      <c r="D901" s="10" t="n">
        <v>11</v>
      </c>
      <c r="E901" s="10" t="inlineStr">
        <is>
          <t>ORD-KOL-001363</t>
        </is>
      </c>
      <c r="F901" s="10" t="inlineStr">
        <is>
          <t>ECOM_B2C</t>
        </is>
      </c>
      <c r="G901" s="10" t="inlineStr">
        <is>
          <t>Central Kolkata</t>
        </is>
      </c>
      <c r="H901" s="10" t="n">
        <v>2.31</v>
      </c>
      <c r="I901" s="10" t="n">
        <v>1080</v>
      </c>
      <c r="J901" s="10" t="n">
        <v>1200</v>
      </c>
      <c r="K901" s="12" t="n">
        <v>1181.3</v>
      </c>
      <c r="L901" s="12" t="n">
        <v>0</v>
      </c>
      <c r="M901" s="10" t="inlineStr">
        <is>
          <t>Yes</t>
        </is>
      </c>
      <c r="N901" s="11" t="n">
        <v>0.821</v>
      </c>
      <c r="O901" s="11" t="n">
        <v>1.109</v>
      </c>
      <c r="P901" s="12" t="n">
        <v>5.3</v>
      </c>
    </row>
    <row r="902">
      <c r="B902" s="16" t="inlineStr">
        <is>
          <t>KOL</t>
        </is>
      </c>
      <c r="C902" s="16" t="inlineStr">
        <is>
          <t>VEH-KOL-017</t>
        </is>
      </c>
      <c r="D902" s="16" t="n">
        <v>12</v>
      </c>
      <c r="E902" s="16" t="inlineStr">
        <is>
          <t>ORD-KOL-001376</t>
        </is>
      </c>
      <c r="F902" s="16" t="inlineStr">
        <is>
          <t>ECOM_B2C</t>
        </is>
      </c>
      <c r="G902" s="16" t="inlineStr">
        <is>
          <t>East Kolkata</t>
        </is>
      </c>
      <c r="H902" s="16" t="n">
        <v>1.8</v>
      </c>
      <c r="I902" s="16" t="n">
        <v>1080</v>
      </c>
      <c r="J902" s="16" t="n">
        <v>1260</v>
      </c>
      <c r="K902" s="18" t="n">
        <v>1215.3</v>
      </c>
      <c r="L902" s="18" t="n">
        <v>0</v>
      </c>
      <c r="M902" s="16" t="inlineStr">
        <is>
          <t>Yes</t>
        </is>
      </c>
      <c r="N902" s="17" t="n">
        <v>4.86</v>
      </c>
      <c r="O902" s="17" t="n">
        <v>6.561</v>
      </c>
      <c r="P902" s="18" t="n">
        <v>30</v>
      </c>
    </row>
    <row r="903">
      <c r="B903" s="10" t="inlineStr">
        <is>
          <t>KOL</t>
        </is>
      </c>
      <c r="C903" s="10" t="inlineStr">
        <is>
          <t>VEH-KOL-019</t>
        </is>
      </c>
      <c r="D903" s="10" t="n">
        <v>1</v>
      </c>
      <c r="E903" s="10" t="inlineStr">
        <is>
          <t>ORD-KOL-001411</t>
        </is>
      </c>
      <c r="F903" s="10" t="inlineStr">
        <is>
          <t>ECOM_B2C</t>
        </is>
      </c>
      <c r="G903" s="10" t="inlineStr">
        <is>
          <t>Howrah</t>
        </is>
      </c>
      <c r="H903" s="10" t="n">
        <v>0.87</v>
      </c>
      <c r="I903" s="10" t="n">
        <v>540</v>
      </c>
      <c r="J903" s="10" t="n">
        <v>720</v>
      </c>
      <c r="K903" s="12" t="n">
        <v>540</v>
      </c>
      <c r="L903" s="12" t="n">
        <v>0</v>
      </c>
      <c r="M903" s="10" t="inlineStr">
        <is>
          <t>Yes</t>
        </is>
      </c>
      <c r="N903" s="11" t="n">
        <v>4.904</v>
      </c>
      <c r="O903" s="11" t="n">
        <v>6.62</v>
      </c>
      <c r="P903" s="12" t="n">
        <v>30.3</v>
      </c>
    </row>
    <row r="904">
      <c r="B904" s="16" t="inlineStr">
        <is>
          <t>KOL</t>
        </is>
      </c>
      <c r="C904" s="16" t="inlineStr">
        <is>
          <t>VEH-KOL-019</t>
        </is>
      </c>
      <c r="D904" s="16" t="n">
        <v>2</v>
      </c>
      <c r="E904" s="16" t="inlineStr">
        <is>
          <t>ORD-KOL-001426</t>
        </is>
      </c>
      <c r="F904" s="16" t="inlineStr">
        <is>
          <t>FMCG_RETAIL</t>
        </is>
      </c>
      <c r="G904" s="16" t="inlineStr">
        <is>
          <t>Howrah</t>
        </is>
      </c>
      <c r="H904" s="16" t="n">
        <v>138.15</v>
      </c>
      <c r="I904" s="16" t="n">
        <v>540</v>
      </c>
      <c r="J904" s="16" t="n">
        <v>780</v>
      </c>
      <c r="K904" s="18" t="n">
        <v>587.5</v>
      </c>
      <c r="L904" s="18" t="n">
        <v>0</v>
      </c>
      <c r="M904" s="16" t="inlineStr">
        <is>
          <t>Yes</t>
        </is>
      </c>
      <c r="N904" s="17" t="n">
        <v>7.036</v>
      </c>
      <c r="O904" s="17" t="n">
        <v>9.499000000000001</v>
      </c>
      <c r="P904" s="18" t="n">
        <v>43.5</v>
      </c>
    </row>
    <row r="905">
      <c r="B905" s="10" t="inlineStr">
        <is>
          <t>KOL</t>
        </is>
      </c>
      <c r="C905" s="10" t="inlineStr">
        <is>
          <t>VEH-KOL-019</t>
        </is>
      </c>
      <c r="D905" s="10" t="n">
        <v>3</v>
      </c>
      <c r="E905" s="10" t="inlineStr">
        <is>
          <t>ORD-KOL-001424</t>
        </is>
      </c>
      <c r="F905" s="10" t="inlineStr">
        <is>
          <t>FMCG_RETAIL</t>
        </is>
      </c>
      <c r="G905" s="10" t="inlineStr">
        <is>
          <t>Howrah</t>
        </is>
      </c>
      <c r="H905" s="10" t="n">
        <v>98.26000000000001</v>
      </c>
      <c r="I905" s="10" t="n">
        <v>600</v>
      </c>
      <c r="J905" s="10" t="n">
        <v>960</v>
      </c>
      <c r="K905" s="12" t="n">
        <v>605.3</v>
      </c>
      <c r="L905" s="12" t="n">
        <v>0</v>
      </c>
      <c r="M905" s="10" t="inlineStr">
        <is>
          <t>Yes</t>
        </is>
      </c>
      <c r="N905" s="11" t="n">
        <v>0.492</v>
      </c>
      <c r="O905" s="11" t="n">
        <v>0.665</v>
      </c>
      <c r="P905" s="12" t="n">
        <v>3</v>
      </c>
    </row>
    <row r="906">
      <c r="B906" s="16" t="inlineStr">
        <is>
          <t>KOL</t>
        </is>
      </c>
      <c r="C906" s="16" t="inlineStr">
        <is>
          <t>VEH-KOL-019</t>
        </is>
      </c>
      <c r="D906" s="16" t="n">
        <v>4</v>
      </c>
      <c r="E906" s="16" t="inlineStr">
        <is>
          <t>ORD-KOL-001430</t>
        </is>
      </c>
      <c r="F906" s="16" t="inlineStr">
        <is>
          <t>FMCG_RETAIL</t>
        </is>
      </c>
      <c r="G906" s="16" t="inlineStr">
        <is>
          <t>Howrah</t>
        </is>
      </c>
      <c r="H906" s="16" t="n">
        <v>178.93</v>
      </c>
      <c r="I906" s="16" t="n">
        <v>540</v>
      </c>
      <c r="J906" s="16" t="n">
        <v>780</v>
      </c>
      <c r="K906" s="18" t="n">
        <v>618.8</v>
      </c>
      <c r="L906" s="18" t="n">
        <v>0</v>
      </c>
      <c r="M906" s="16" t="inlineStr">
        <is>
          <t>Yes</t>
        </is>
      </c>
      <c r="N906" s="17" t="n">
        <v>0</v>
      </c>
      <c r="O906" s="17" t="n">
        <v>0</v>
      </c>
      <c r="P906" s="18" t="n">
        <v>0</v>
      </c>
    </row>
    <row r="907">
      <c r="B907" s="10" t="inlineStr">
        <is>
          <t>KOL</t>
        </is>
      </c>
      <c r="C907" s="10" t="inlineStr">
        <is>
          <t>VEH-KOL-019</t>
        </is>
      </c>
      <c r="D907" s="10" t="n">
        <v>5</v>
      </c>
      <c r="E907" s="10" t="inlineStr">
        <is>
          <t>ORD-KOL-001442</t>
        </is>
      </c>
      <c r="F907" s="10" t="inlineStr">
        <is>
          <t>FMCG_RETAIL</t>
        </is>
      </c>
      <c r="G907" s="10" t="inlineStr">
        <is>
          <t>North Kolkata</t>
        </is>
      </c>
      <c r="H907" s="10" t="n">
        <v>79.31999999999999</v>
      </c>
      <c r="I907" s="10" t="n">
        <v>600</v>
      </c>
      <c r="J907" s="10" t="n">
        <v>960</v>
      </c>
      <c r="K907" s="12" t="n">
        <v>672.1</v>
      </c>
      <c r="L907" s="12" t="n">
        <v>0</v>
      </c>
      <c r="M907" s="10" t="inlineStr">
        <is>
          <t>Yes</t>
        </is>
      </c>
      <c r="N907" s="11" t="n">
        <v>6.28</v>
      </c>
      <c r="O907" s="11" t="n">
        <v>8.478</v>
      </c>
      <c r="P907" s="12" t="n">
        <v>37</v>
      </c>
    </row>
    <row r="908">
      <c r="B908" s="16" t="inlineStr">
        <is>
          <t>KOL</t>
        </is>
      </c>
      <c r="C908" s="16" t="inlineStr">
        <is>
          <t>VEH-KOL-019</t>
        </is>
      </c>
      <c r="D908" s="16" t="n">
        <v>6</v>
      </c>
      <c r="E908" s="16" t="inlineStr">
        <is>
          <t>ORD-KOL-001446</t>
        </is>
      </c>
      <c r="F908" s="16" t="inlineStr">
        <is>
          <t>FMCG_RETAIL</t>
        </is>
      </c>
      <c r="G908" s="16" t="inlineStr">
        <is>
          <t>North Kolkata</t>
        </is>
      </c>
      <c r="H908" s="16" t="n">
        <v>87.98999999999999</v>
      </c>
      <c r="I908" s="16" t="n">
        <v>540</v>
      </c>
      <c r="J908" s="16" t="n">
        <v>780</v>
      </c>
      <c r="K908" s="18" t="n">
        <v>690.9</v>
      </c>
      <c r="L908" s="18" t="n">
        <v>0</v>
      </c>
      <c r="M908" s="16" t="inlineStr">
        <is>
          <t>Yes</t>
        </is>
      </c>
      <c r="N908" s="17" t="n">
        <v>1.674</v>
      </c>
      <c r="O908" s="17" t="n">
        <v>2.26</v>
      </c>
      <c r="P908" s="18" t="n">
        <v>6</v>
      </c>
    </row>
    <row r="909">
      <c r="B909" s="10" t="inlineStr">
        <is>
          <t>KOL</t>
        </is>
      </c>
      <c r="C909" s="10" t="inlineStr">
        <is>
          <t>VEH-KOL-019</t>
        </is>
      </c>
      <c r="D909" s="10" t="n">
        <v>7</v>
      </c>
      <c r="E909" s="10" t="inlineStr">
        <is>
          <t>ORD-KOL-001450</t>
        </is>
      </c>
      <c r="F909" s="10" t="inlineStr">
        <is>
          <t>FMCG_RETAIL</t>
        </is>
      </c>
      <c r="G909" s="10" t="inlineStr">
        <is>
          <t>East Kolkata</t>
        </is>
      </c>
      <c r="H909" s="10" t="n">
        <v>104.14</v>
      </c>
      <c r="I909" s="10" t="n">
        <v>540</v>
      </c>
      <c r="J909" s="10" t="n">
        <v>780</v>
      </c>
      <c r="K909" s="12" t="n">
        <v>731.4</v>
      </c>
      <c r="L909" s="12" t="n">
        <v>0</v>
      </c>
      <c r="M909" s="10" t="inlineStr">
        <is>
          <t>Yes</t>
        </is>
      </c>
      <c r="N909" s="11" t="n">
        <v>7.691</v>
      </c>
      <c r="O909" s="11" t="n">
        <v>10.382</v>
      </c>
      <c r="P909" s="12" t="n">
        <v>27.4</v>
      </c>
    </row>
    <row r="910">
      <c r="B910" s="16" t="inlineStr">
        <is>
          <t>KOL</t>
        </is>
      </c>
      <c r="C910" s="16" t="inlineStr">
        <is>
          <t>VEH-KOL-019</t>
        </is>
      </c>
      <c r="D910" s="16" t="n">
        <v>8</v>
      </c>
      <c r="E910" s="16" t="inlineStr">
        <is>
          <t>ORD-KOL-001441</t>
        </is>
      </c>
      <c r="F910" s="16" t="inlineStr">
        <is>
          <t>FMCG_RETAIL</t>
        </is>
      </c>
      <c r="G910" s="16" t="inlineStr">
        <is>
          <t>East Kolkata</t>
        </is>
      </c>
      <c r="H910" s="16" t="n">
        <v>114.81</v>
      </c>
      <c r="I910" s="16" t="n">
        <v>540</v>
      </c>
      <c r="J910" s="16" t="n">
        <v>780</v>
      </c>
      <c r="K910" s="18" t="n">
        <v>745</v>
      </c>
      <c r="L910" s="18" t="n">
        <v>0</v>
      </c>
      <c r="M910" s="16" t="inlineStr">
        <is>
          <t>Yes</t>
        </is>
      </c>
      <c r="N910" s="17" t="n">
        <v>0</v>
      </c>
      <c r="O910" s="17" t="n">
        <v>0</v>
      </c>
      <c r="P910" s="18" t="n">
        <v>0</v>
      </c>
    </row>
    <row r="911">
      <c r="B911" s="10" t="inlineStr">
        <is>
          <t>KOL</t>
        </is>
      </c>
      <c r="C911" s="10" t="inlineStr">
        <is>
          <t>VEH-KOL-019</t>
        </is>
      </c>
      <c r="D911" s="10" t="n">
        <v>9</v>
      </c>
      <c r="E911" s="10" t="inlineStr">
        <is>
          <t>ORD-KOL-001431</t>
        </is>
      </c>
      <c r="F911" s="10" t="inlineStr">
        <is>
          <t>FMCG_RETAIL</t>
        </is>
      </c>
      <c r="G911" s="10" t="inlineStr">
        <is>
          <t>East Kolkata</t>
        </is>
      </c>
      <c r="H911" s="10" t="n">
        <v>76.73</v>
      </c>
      <c r="I911" s="10" t="n">
        <v>600</v>
      </c>
      <c r="J911" s="10" t="n">
        <v>960</v>
      </c>
      <c r="K911" s="12" t="n">
        <v>759</v>
      </c>
      <c r="L911" s="12" t="n">
        <v>0</v>
      </c>
      <c r="M911" s="10" t="inlineStr">
        <is>
          <t>Yes</t>
        </is>
      </c>
      <c r="N911" s="11" t="n">
        <v>0</v>
      </c>
      <c r="O911" s="11" t="n">
        <v>0</v>
      </c>
      <c r="P911" s="12" t="n">
        <v>0</v>
      </c>
    </row>
    <row r="912">
      <c r="B912" s="16" t="inlineStr">
        <is>
          <t>KOL</t>
        </is>
      </c>
      <c r="C912" s="16" t="inlineStr">
        <is>
          <t>VEH-KOL-019</t>
        </is>
      </c>
      <c r="D912" s="16" t="n">
        <v>10</v>
      </c>
      <c r="E912" s="16" t="inlineStr">
        <is>
          <t>ORD-KOL-001427</t>
        </is>
      </c>
      <c r="F912" s="16" t="inlineStr">
        <is>
          <t>FMCG_RETAIL</t>
        </is>
      </c>
      <c r="G912" s="16" t="inlineStr">
        <is>
          <t>North Kolkata</t>
        </is>
      </c>
      <c r="H912" s="16" t="n">
        <v>138.1</v>
      </c>
      <c r="I912" s="16" t="n">
        <v>540</v>
      </c>
      <c r="J912" s="16" t="n">
        <v>780</v>
      </c>
      <c r="K912" s="18" t="n">
        <v>795.3</v>
      </c>
      <c r="L912" s="18" t="n">
        <v>15.3</v>
      </c>
      <c r="M912" s="16" t="inlineStr">
        <is>
          <t>No</t>
        </is>
      </c>
      <c r="N912" s="17" t="n">
        <v>6.555</v>
      </c>
      <c r="O912" s="17" t="n">
        <v>8.849</v>
      </c>
      <c r="P912" s="18" t="n">
        <v>23.6</v>
      </c>
    </row>
    <row r="913">
      <c r="B913" s="10" t="inlineStr">
        <is>
          <t>KOL</t>
        </is>
      </c>
      <c r="C913" s="10" t="inlineStr">
        <is>
          <t>VEH-KOL-019</t>
        </is>
      </c>
      <c r="D913" s="10" t="n">
        <v>11</v>
      </c>
      <c r="E913" s="10" t="inlineStr">
        <is>
          <t>ORD-KOL-001449</t>
        </is>
      </c>
      <c r="F913" s="10" t="inlineStr">
        <is>
          <t>FMCG_RETAIL</t>
        </is>
      </c>
      <c r="G913" s="10" t="inlineStr">
        <is>
          <t>North Kolkata</t>
        </is>
      </c>
      <c r="H913" s="10" t="n">
        <v>101.34</v>
      </c>
      <c r="I913" s="10" t="n">
        <v>840</v>
      </c>
      <c r="J913" s="10" t="n">
        <v>1080</v>
      </c>
      <c r="K913" s="12" t="n">
        <v>814.4</v>
      </c>
      <c r="L913" s="12" t="n">
        <v>0</v>
      </c>
      <c r="M913" s="10" t="inlineStr">
        <is>
          <t>Yes</t>
        </is>
      </c>
      <c r="N913" s="11" t="n">
        <v>1.163</v>
      </c>
      <c r="O913" s="11" t="n">
        <v>1.57</v>
      </c>
      <c r="P913" s="12" t="n">
        <v>4.2</v>
      </c>
    </row>
    <row r="914">
      <c r="B914" s="16" t="inlineStr">
        <is>
          <t>KOL</t>
        </is>
      </c>
      <c r="C914" s="16" t="inlineStr">
        <is>
          <t>VEH-KOL-019</t>
        </is>
      </c>
      <c r="D914" s="16" t="n">
        <v>12</v>
      </c>
      <c r="E914" s="16" t="inlineStr">
        <is>
          <t>ORD-KOL-001451</t>
        </is>
      </c>
      <c r="F914" s="16" t="inlineStr">
        <is>
          <t>FMCG_RETAIL</t>
        </is>
      </c>
      <c r="G914" s="16" t="inlineStr">
        <is>
          <t>Howrah</t>
        </is>
      </c>
      <c r="H914" s="16" t="n">
        <v>173.44</v>
      </c>
      <c r="I914" s="16" t="n">
        <v>840</v>
      </c>
      <c r="J914" s="16" t="n">
        <v>1080</v>
      </c>
      <c r="K914" s="18" t="n">
        <v>882.5</v>
      </c>
      <c r="L914" s="18" t="n">
        <v>0</v>
      </c>
      <c r="M914" s="16" t="inlineStr">
        <is>
          <t>Yes</t>
        </is>
      </c>
      <c r="N914" s="17" t="n">
        <v>7.666</v>
      </c>
      <c r="O914" s="17" t="n">
        <v>10.349</v>
      </c>
      <c r="P914" s="18" t="n">
        <v>28.9</v>
      </c>
    </row>
    <row r="915">
      <c r="B915" s="10" t="inlineStr">
        <is>
          <t>KOL</t>
        </is>
      </c>
      <c r="C915" s="10" t="inlineStr">
        <is>
          <t>VEH-KOL-019</t>
        </is>
      </c>
      <c r="D915" s="10" t="n">
        <v>13</v>
      </c>
      <c r="E915" s="10" t="inlineStr">
        <is>
          <t>ORD-KOL-001428</t>
        </is>
      </c>
      <c r="F915" s="10" t="inlineStr">
        <is>
          <t>FMCG_RETAIL</t>
        </is>
      </c>
      <c r="G915" s="10" t="inlineStr">
        <is>
          <t>Howrah</t>
        </is>
      </c>
      <c r="H915" s="10" t="n">
        <v>119.97</v>
      </c>
      <c r="I915" s="10" t="n">
        <v>840</v>
      </c>
      <c r="J915" s="10" t="n">
        <v>1080</v>
      </c>
      <c r="K915" s="12" t="n">
        <v>899.7</v>
      </c>
      <c r="L915" s="12" t="n">
        <v>0</v>
      </c>
      <c r="M915" s="10" t="inlineStr">
        <is>
          <t>Yes</t>
        </is>
      </c>
      <c r="N915" s="11" t="n">
        <v>0.295</v>
      </c>
      <c r="O915" s="11" t="n">
        <v>0.398</v>
      </c>
      <c r="P915" s="12" t="n">
        <v>1.1</v>
      </c>
    </row>
    <row r="916">
      <c r="B916" s="16" t="inlineStr">
        <is>
          <t>KOL</t>
        </is>
      </c>
      <c r="C916" s="16" t="inlineStr">
        <is>
          <t>VEH-KOL-019</t>
        </is>
      </c>
      <c r="D916" s="16" t="n">
        <v>14</v>
      </c>
      <c r="E916" s="16" t="inlineStr">
        <is>
          <t>ORD-KOL-001437</t>
        </is>
      </c>
      <c r="F916" s="16" t="inlineStr">
        <is>
          <t>FMCG_RETAIL</t>
        </is>
      </c>
      <c r="G916" s="16" t="inlineStr">
        <is>
          <t>Howrah</t>
        </is>
      </c>
      <c r="H916" s="16" t="n">
        <v>179.35</v>
      </c>
      <c r="I916" s="16" t="n">
        <v>600</v>
      </c>
      <c r="J916" s="16" t="n">
        <v>960</v>
      </c>
      <c r="K916" s="18" t="n">
        <v>915.3</v>
      </c>
      <c r="L916" s="18" t="n">
        <v>0</v>
      </c>
      <c r="M916" s="16" t="inlineStr">
        <is>
          <t>Yes</t>
        </is>
      </c>
      <c r="N916" s="17" t="n">
        <v>0.367</v>
      </c>
      <c r="O916" s="17" t="n">
        <v>0.495</v>
      </c>
      <c r="P916" s="18" t="n">
        <v>1.4</v>
      </c>
    </row>
    <row r="917">
      <c r="B917" s="10" t="inlineStr">
        <is>
          <t>KOL</t>
        </is>
      </c>
      <c r="C917" s="10" t="inlineStr">
        <is>
          <t>VEH-KOL-019</t>
        </is>
      </c>
      <c r="D917" s="10" t="n">
        <v>15</v>
      </c>
      <c r="E917" s="10" t="inlineStr">
        <is>
          <t>ORD-KOL-001439</t>
        </is>
      </c>
      <c r="F917" s="10" t="inlineStr">
        <is>
          <t>FMCG_RETAIL</t>
        </is>
      </c>
      <c r="G917" s="10" t="inlineStr">
        <is>
          <t>Howrah</t>
        </is>
      </c>
      <c r="H917" s="10" t="n">
        <v>68.79000000000001</v>
      </c>
      <c r="I917" s="10" t="n">
        <v>600</v>
      </c>
      <c r="J917" s="10" t="n">
        <v>960</v>
      </c>
      <c r="K917" s="12" t="n">
        <v>931.5</v>
      </c>
      <c r="L917" s="12" t="n">
        <v>0</v>
      </c>
      <c r="M917" s="10" t="inlineStr">
        <is>
          <t>Yes</t>
        </is>
      </c>
      <c r="N917" s="11" t="n">
        <v>0</v>
      </c>
      <c r="O917" s="11" t="n">
        <v>0</v>
      </c>
      <c r="P917" s="12" t="n">
        <v>0</v>
      </c>
    </row>
    <row r="918">
      <c r="B918" s="16" t="inlineStr">
        <is>
          <t>KOL</t>
        </is>
      </c>
      <c r="C918" s="16" t="inlineStr">
        <is>
          <t>VEH-KOL-020</t>
        </is>
      </c>
      <c r="D918" s="16" t="n">
        <v>1</v>
      </c>
      <c r="E918" s="16" t="inlineStr">
        <is>
          <t>ORD-KOL-001362</t>
        </is>
      </c>
      <c r="F918" s="16" t="inlineStr">
        <is>
          <t>ECOM_B2C</t>
        </is>
      </c>
      <c r="G918" s="16" t="inlineStr">
        <is>
          <t>Howrah</t>
        </is>
      </c>
      <c r="H918" s="16" t="n">
        <v>1.86</v>
      </c>
      <c r="I918" s="16" t="n">
        <v>600</v>
      </c>
      <c r="J918" s="16" t="n">
        <v>720</v>
      </c>
      <c r="K918" s="18" t="n">
        <v>600</v>
      </c>
      <c r="L918" s="18" t="n">
        <v>0</v>
      </c>
      <c r="M918" s="16" t="inlineStr">
        <is>
          <t>Yes</t>
        </is>
      </c>
      <c r="N918" s="17" t="n">
        <v>1.906</v>
      </c>
      <c r="O918" s="17" t="n">
        <v>2.573</v>
      </c>
      <c r="P918" s="18" t="n">
        <v>11.8</v>
      </c>
    </row>
    <row r="919">
      <c r="B919" s="10" t="inlineStr">
        <is>
          <t>KOL</t>
        </is>
      </c>
      <c r="C919" s="10" t="inlineStr">
        <is>
          <t>VEH-KOL-020</t>
        </is>
      </c>
      <c r="D919" s="10" t="n">
        <v>2</v>
      </c>
      <c r="E919" s="10" t="inlineStr">
        <is>
          <t>ORD-KOL-001436</t>
        </is>
      </c>
      <c r="F919" s="10" t="inlineStr">
        <is>
          <t>FMCG_RETAIL</t>
        </is>
      </c>
      <c r="G919" s="10" t="inlineStr">
        <is>
          <t>Howrah</t>
        </is>
      </c>
      <c r="H919" s="10" t="n">
        <v>143.85</v>
      </c>
      <c r="I919" s="10" t="n">
        <v>600</v>
      </c>
      <c r="J919" s="10" t="n">
        <v>960</v>
      </c>
      <c r="K919" s="12" t="n">
        <v>608.6</v>
      </c>
      <c r="L919" s="12" t="n">
        <v>0</v>
      </c>
      <c r="M919" s="10" t="inlineStr">
        <is>
          <t>Yes</t>
        </is>
      </c>
      <c r="N919" s="11" t="n">
        <v>0.747</v>
      </c>
      <c r="O919" s="11" t="n">
        <v>1.008</v>
      </c>
      <c r="P919" s="12" t="n">
        <v>4.6</v>
      </c>
    </row>
    <row r="920">
      <c r="B920" s="16" t="inlineStr">
        <is>
          <t>KOL</t>
        </is>
      </c>
      <c r="C920" s="16" t="inlineStr">
        <is>
          <t>VEH-KOL-020</t>
        </is>
      </c>
      <c r="D920" s="16" t="n">
        <v>3</v>
      </c>
      <c r="E920" s="16" t="inlineStr">
        <is>
          <t>ORD-KOL-001347</t>
        </is>
      </c>
      <c r="F920" s="16" t="inlineStr">
        <is>
          <t>ECOM_B2C</t>
        </is>
      </c>
      <c r="G920" s="16" t="inlineStr">
        <is>
          <t>South Kolkata</t>
        </is>
      </c>
      <c r="H920" s="16" t="n">
        <v>4.56</v>
      </c>
      <c r="I920" s="16" t="n">
        <v>600</v>
      </c>
      <c r="J920" s="16" t="n">
        <v>720</v>
      </c>
      <c r="K920" s="18" t="n">
        <v>681.9</v>
      </c>
      <c r="L920" s="18" t="n">
        <v>0</v>
      </c>
      <c r="M920" s="16" t="inlineStr">
        <is>
          <t>Yes</t>
        </is>
      </c>
      <c r="N920" s="17" t="n">
        <v>9.824999999999999</v>
      </c>
      <c r="O920" s="17" t="n">
        <v>13.264</v>
      </c>
      <c r="P920" s="18" t="n">
        <v>58.3</v>
      </c>
    </row>
    <row r="921">
      <c r="B921" s="10" t="inlineStr">
        <is>
          <t>KOL</t>
        </is>
      </c>
      <c r="C921" s="10" t="inlineStr">
        <is>
          <t>VEH-KOL-020</t>
        </is>
      </c>
      <c r="D921" s="10" t="n">
        <v>4</v>
      </c>
      <c r="E921" s="10" t="inlineStr">
        <is>
          <t>ORD-KOL-001429</t>
        </is>
      </c>
      <c r="F921" s="10" t="inlineStr">
        <is>
          <t>FMCG_RETAIL</t>
        </is>
      </c>
      <c r="G921" s="10" t="inlineStr">
        <is>
          <t>South Kolkata</t>
        </is>
      </c>
      <c r="H921" s="10" t="n">
        <v>106.44</v>
      </c>
      <c r="I921" s="10" t="n">
        <v>600</v>
      </c>
      <c r="J921" s="10" t="n">
        <v>960</v>
      </c>
      <c r="K921" s="12" t="n">
        <v>695.7</v>
      </c>
      <c r="L921" s="12" t="n">
        <v>0</v>
      </c>
      <c r="M921" s="10" t="inlineStr">
        <is>
          <t>Yes</t>
        </is>
      </c>
      <c r="N921" s="11" t="n">
        <v>2.692</v>
      </c>
      <c r="O921" s="11" t="n">
        <v>3.634</v>
      </c>
      <c r="P921" s="12" t="n">
        <v>9.800000000000001</v>
      </c>
    </row>
    <row r="922">
      <c r="B922" s="16" t="inlineStr">
        <is>
          <t>KOL</t>
        </is>
      </c>
      <c r="C922" s="16" t="inlineStr">
        <is>
          <t>VEH-KOL-020</t>
        </is>
      </c>
      <c r="D922" s="16" t="n">
        <v>5</v>
      </c>
      <c r="E922" s="16" t="inlineStr">
        <is>
          <t>ORD-KOL-001435</t>
        </is>
      </c>
      <c r="F922" s="16" t="inlineStr">
        <is>
          <t>FMCG_RETAIL</t>
        </is>
      </c>
      <c r="G922" s="16" t="inlineStr">
        <is>
          <t>South Kolkata</t>
        </is>
      </c>
      <c r="H922" s="16" t="n">
        <v>70</v>
      </c>
      <c r="I922" s="16" t="n">
        <v>600</v>
      </c>
      <c r="J922" s="16" t="n">
        <v>960</v>
      </c>
      <c r="K922" s="18" t="n">
        <v>709.4</v>
      </c>
      <c r="L922" s="18" t="n">
        <v>0</v>
      </c>
      <c r="M922" s="16" t="inlineStr">
        <is>
          <t>Yes</t>
        </is>
      </c>
      <c r="N922" s="17" t="n">
        <v>0</v>
      </c>
      <c r="O922" s="17" t="n">
        <v>0</v>
      </c>
      <c r="P922" s="18" t="n">
        <v>0</v>
      </c>
    </row>
    <row r="923">
      <c r="B923" s="10" t="inlineStr">
        <is>
          <t>KOL</t>
        </is>
      </c>
      <c r="C923" s="10" t="inlineStr">
        <is>
          <t>VEH-KOL-020</t>
        </is>
      </c>
      <c r="D923" s="10" t="n">
        <v>6</v>
      </c>
      <c r="E923" s="10" t="inlineStr">
        <is>
          <t>ORD-KOL-001445</t>
        </is>
      </c>
      <c r="F923" s="10" t="inlineStr">
        <is>
          <t>FMCG_RETAIL</t>
        </is>
      </c>
      <c r="G923" s="10" t="inlineStr">
        <is>
          <t>South Kolkata</t>
        </is>
      </c>
      <c r="H923" s="10" t="n">
        <v>187.74</v>
      </c>
      <c r="I923" s="10" t="n">
        <v>600</v>
      </c>
      <c r="J923" s="10" t="n">
        <v>960</v>
      </c>
      <c r="K923" s="12" t="n">
        <v>738.1</v>
      </c>
      <c r="L923" s="12" t="n">
        <v>0</v>
      </c>
      <c r="M923" s="10" t="inlineStr">
        <is>
          <t>Yes</t>
        </is>
      </c>
      <c r="N923" s="11" t="n">
        <v>4.484</v>
      </c>
      <c r="O923" s="11" t="n">
        <v>6.053</v>
      </c>
      <c r="P923" s="12" t="n">
        <v>16.3</v>
      </c>
    </row>
    <row r="924">
      <c r="B924" s="16" t="inlineStr">
        <is>
          <t>KOL</t>
        </is>
      </c>
      <c r="C924" s="16" t="inlineStr">
        <is>
          <t>VEH-KOL-020</t>
        </is>
      </c>
      <c r="D924" s="16" t="n">
        <v>7</v>
      </c>
      <c r="E924" s="16" t="inlineStr">
        <is>
          <t>ORD-KOL-001443</t>
        </is>
      </c>
      <c r="F924" s="16" t="inlineStr">
        <is>
          <t>FMCG_RETAIL</t>
        </is>
      </c>
      <c r="G924" s="16" t="inlineStr">
        <is>
          <t>South Kolkata</t>
        </is>
      </c>
      <c r="H924" s="16" t="n">
        <v>125.46</v>
      </c>
      <c r="I924" s="16" t="n">
        <v>540</v>
      </c>
      <c r="J924" s="16" t="n">
        <v>780</v>
      </c>
      <c r="K924" s="18" t="n">
        <v>754.7</v>
      </c>
      <c r="L924" s="18" t="n">
        <v>0</v>
      </c>
      <c r="M924" s="16" t="inlineStr">
        <is>
          <t>Yes</t>
        </is>
      </c>
      <c r="N924" s="17" t="n">
        <v>0</v>
      </c>
      <c r="O924" s="17" t="n">
        <v>0</v>
      </c>
      <c r="P924" s="18" t="n">
        <v>0</v>
      </c>
    </row>
    <row r="925">
      <c r="B925" s="10" t="inlineStr">
        <is>
          <t>KOL</t>
        </is>
      </c>
      <c r="C925" s="10" t="inlineStr">
        <is>
          <t>VEH-KOL-020</t>
        </is>
      </c>
      <c r="D925" s="10" t="n">
        <v>8</v>
      </c>
      <c r="E925" s="10" t="inlineStr">
        <is>
          <t>ORD-KOL-001447</t>
        </is>
      </c>
      <c r="F925" s="10" t="inlineStr">
        <is>
          <t>FMCG_RETAIL</t>
        </is>
      </c>
      <c r="G925" s="10" t="inlineStr">
        <is>
          <t>East Kolkata</t>
        </is>
      </c>
      <c r="H925" s="10" t="n">
        <v>59.14</v>
      </c>
      <c r="I925" s="10" t="n">
        <v>540</v>
      </c>
      <c r="J925" s="10" t="n">
        <v>780</v>
      </c>
      <c r="K925" s="12" t="n">
        <v>780</v>
      </c>
      <c r="L925" s="12" t="n">
        <v>0</v>
      </c>
      <c r="M925" s="10" t="inlineStr">
        <is>
          <t>Yes</t>
        </is>
      </c>
      <c r="N925" s="11" t="n">
        <v>3.062</v>
      </c>
      <c r="O925" s="11" t="n">
        <v>4.134</v>
      </c>
      <c r="P925" s="12" t="n">
        <v>10.9</v>
      </c>
    </row>
    <row r="926">
      <c r="B926" s="16" t="inlineStr">
        <is>
          <t>KOL</t>
        </is>
      </c>
      <c r="C926" s="16" t="inlineStr">
        <is>
          <t>VEH-KOL-020</t>
        </is>
      </c>
      <c r="D926" s="16" t="n">
        <v>9</v>
      </c>
      <c r="E926" s="16" t="inlineStr">
        <is>
          <t>ORD-KOL-001433</t>
        </is>
      </c>
      <c r="F926" s="16" t="inlineStr">
        <is>
          <t>FMCG_RETAIL</t>
        </is>
      </c>
      <c r="G926" s="16" t="inlineStr">
        <is>
          <t>East Kolkata</t>
        </is>
      </c>
      <c r="H926" s="16" t="n">
        <v>104.48</v>
      </c>
      <c r="I926" s="16" t="n">
        <v>600</v>
      </c>
      <c r="J926" s="16" t="n">
        <v>960</v>
      </c>
      <c r="K926" s="18" t="n">
        <v>794.5</v>
      </c>
      <c r="L926" s="18" t="n">
        <v>0</v>
      </c>
      <c r="M926" s="16" t="inlineStr">
        <is>
          <t>Yes</t>
        </is>
      </c>
      <c r="N926" s="17" t="n">
        <v>0.694</v>
      </c>
      <c r="O926" s="17" t="n">
        <v>0.9370000000000001</v>
      </c>
      <c r="P926" s="18" t="n">
        <v>2.5</v>
      </c>
    </row>
    <row r="927">
      <c r="B927" s="10" t="inlineStr">
        <is>
          <t>KOL</t>
        </is>
      </c>
      <c r="C927" s="10" t="inlineStr">
        <is>
          <t>VEH-KOL-020</t>
        </is>
      </c>
      <c r="D927" s="10" t="n">
        <v>10</v>
      </c>
      <c r="E927" s="10" t="inlineStr">
        <is>
          <t>ORD-KOL-001432</t>
        </is>
      </c>
      <c r="F927" s="10" t="inlineStr">
        <is>
          <t>FMCG_RETAIL</t>
        </is>
      </c>
      <c r="G927" s="10" t="inlineStr">
        <is>
          <t>East Kolkata</t>
        </is>
      </c>
      <c r="H927" s="10" t="n">
        <v>161.94</v>
      </c>
      <c r="I927" s="10" t="n">
        <v>600</v>
      </c>
      <c r="J927" s="10" t="n">
        <v>960</v>
      </c>
      <c r="K927" s="12" t="n">
        <v>810</v>
      </c>
      <c r="L927" s="12" t="n">
        <v>0</v>
      </c>
      <c r="M927" s="10" t="inlineStr">
        <is>
          <t>Yes</t>
        </is>
      </c>
      <c r="N927" s="11" t="n">
        <v>0.494</v>
      </c>
      <c r="O927" s="11" t="n">
        <v>0.667</v>
      </c>
      <c r="P927" s="12" t="n">
        <v>1.8</v>
      </c>
    </row>
    <row r="928">
      <c r="B928" s="16" t="inlineStr">
        <is>
          <t>KOL</t>
        </is>
      </c>
      <c r="C928" s="16" t="inlineStr">
        <is>
          <t>VEH-KOL-020</t>
        </is>
      </c>
      <c r="D928" s="16" t="n">
        <v>11</v>
      </c>
      <c r="E928" s="16" t="inlineStr">
        <is>
          <t>ORD-KOL-001440</t>
        </is>
      </c>
      <c r="F928" s="16" t="inlineStr">
        <is>
          <t>FMCG_RETAIL</t>
        </is>
      </c>
      <c r="G928" s="16" t="inlineStr">
        <is>
          <t>South Kolkata</t>
        </is>
      </c>
      <c r="H928" s="16" t="n">
        <v>83.94</v>
      </c>
      <c r="I928" s="16" t="n">
        <v>840</v>
      </c>
      <c r="J928" s="16" t="n">
        <v>1080</v>
      </c>
      <c r="K928" s="18" t="n">
        <v>837.4</v>
      </c>
      <c r="L928" s="18" t="n">
        <v>0</v>
      </c>
      <c r="M928" s="16" t="inlineStr">
        <is>
          <t>Yes</t>
        </is>
      </c>
      <c r="N928" s="17" t="n">
        <v>3.245</v>
      </c>
      <c r="O928" s="17" t="n">
        <v>4.381</v>
      </c>
      <c r="P928" s="18" t="n">
        <v>11.8</v>
      </c>
    </row>
    <row r="929">
      <c r="B929" s="10" t="inlineStr">
        <is>
          <t>KOL</t>
        </is>
      </c>
      <c r="C929" s="10" t="inlineStr">
        <is>
          <t>VEH-KOL-020</t>
        </is>
      </c>
      <c r="D929" s="10" t="n">
        <v>12</v>
      </c>
      <c r="E929" s="10" t="inlineStr">
        <is>
          <t>ORD-KOL-001434</t>
        </is>
      </c>
      <c r="F929" s="10" t="inlineStr">
        <is>
          <t>FMCG_RETAIL</t>
        </is>
      </c>
      <c r="G929" s="10" t="inlineStr">
        <is>
          <t>South Kolkata</t>
        </is>
      </c>
      <c r="H929" s="10" t="n">
        <v>48.57</v>
      </c>
      <c r="I929" s="10" t="n">
        <v>600</v>
      </c>
      <c r="J929" s="10" t="n">
        <v>960</v>
      </c>
      <c r="K929" s="12" t="n">
        <v>863.1</v>
      </c>
      <c r="L929" s="12" t="n">
        <v>0</v>
      </c>
      <c r="M929" s="10" t="inlineStr">
        <is>
          <t>Yes</t>
        </is>
      </c>
      <c r="N929" s="11" t="n">
        <v>2.81</v>
      </c>
      <c r="O929" s="11" t="n">
        <v>3.793</v>
      </c>
      <c r="P929" s="12" t="n">
        <v>10.2</v>
      </c>
    </row>
    <row r="930">
      <c r="B930" s="16" t="inlineStr">
        <is>
          <t>KOL</t>
        </is>
      </c>
      <c r="C930" s="16" t="inlineStr">
        <is>
          <t>VEH-KOL-020</t>
        </is>
      </c>
      <c r="D930" s="16" t="n">
        <v>13</v>
      </c>
      <c r="E930" s="16" t="inlineStr">
        <is>
          <t>ORD-KOL-001444</t>
        </is>
      </c>
      <c r="F930" s="16" t="inlineStr">
        <is>
          <t>FMCG_RETAIL</t>
        </is>
      </c>
      <c r="G930" s="16" t="inlineStr">
        <is>
          <t>South Kolkata</t>
        </is>
      </c>
      <c r="H930" s="16" t="n">
        <v>42.81</v>
      </c>
      <c r="I930" s="16" t="n">
        <v>840</v>
      </c>
      <c r="J930" s="16" t="n">
        <v>1080</v>
      </c>
      <c r="K930" s="18" t="n">
        <v>875.5</v>
      </c>
      <c r="L930" s="18" t="n">
        <v>0</v>
      </c>
      <c r="M930" s="16" t="inlineStr">
        <is>
          <t>Yes</t>
        </is>
      </c>
      <c r="N930" s="17" t="n">
        <v>0.187</v>
      </c>
      <c r="O930" s="17" t="n">
        <v>0.252</v>
      </c>
      <c r="P930" s="18" t="n">
        <v>0.7</v>
      </c>
    </row>
    <row r="931">
      <c r="B931" s="10" t="inlineStr">
        <is>
          <t>KOL</t>
        </is>
      </c>
      <c r="C931" s="10" t="inlineStr">
        <is>
          <t>VEH-KOL-020</t>
        </is>
      </c>
      <c r="D931" s="10" t="n">
        <v>14</v>
      </c>
      <c r="E931" s="10" t="inlineStr">
        <is>
          <t>ORD-KOL-001425</t>
        </is>
      </c>
      <c r="F931" s="10" t="inlineStr">
        <is>
          <t>FMCG_RETAIL</t>
        </is>
      </c>
      <c r="G931" s="10" t="inlineStr">
        <is>
          <t>South Kolkata</t>
        </is>
      </c>
      <c r="H931" s="10" t="n">
        <v>126.23</v>
      </c>
      <c r="I931" s="10" t="n">
        <v>840</v>
      </c>
      <c r="J931" s="10" t="n">
        <v>1080</v>
      </c>
      <c r="K931" s="12" t="n">
        <v>890.1</v>
      </c>
      <c r="L931" s="12" t="n">
        <v>0</v>
      </c>
      <c r="M931" s="10" t="inlineStr">
        <is>
          <t>Yes</t>
        </is>
      </c>
      <c r="N931" s="11" t="n">
        <v>0.853</v>
      </c>
      <c r="O931" s="11" t="n">
        <v>1.151</v>
      </c>
      <c r="P931" s="12" t="n">
        <v>3.1</v>
      </c>
    </row>
    <row r="932">
      <c r="B932" s="16" t="inlineStr">
        <is>
          <t>KOL</t>
        </is>
      </c>
      <c r="C932" s="16" t="inlineStr">
        <is>
          <t>VEH-KOL-020</t>
        </is>
      </c>
      <c r="D932" s="16" t="n">
        <v>15</v>
      </c>
      <c r="E932" s="16" t="inlineStr">
        <is>
          <t>ORD-KOL-001448</t>
        </is>
      </c>
      <c r="F932" s="16" t="inlineStr">
        <is>
          <t>FMCG_RETAIL</t>
        </is>
      </c>
      <c r="G932" s="16" t="inlineStr">
        <is>
          <t>North Kolkata</t>
        </is>
      </c>
      <c r="H932" s="16" t="n">
        <v>157.46</v>
      </c>
      <c r="I932" s="16" t="n">
        <v>600</v>
      </c>
      <c r="J932" s="16" t="n">
        <v>960</v>
      </c>
      <c r="K932" s="18" t="n">
        <v>942.4</v>
      </c>
      <c r="L932" s="18" t="n">
        <v>0</v>
      </c>
      <c r="M932" s="16" t="inlineStr">
        <is>
          <t>Yes</t>
        </is>
      </c>
      <c r="N932" s="17" t="n">
        <v>10.523</v>
      </c>
      <c r="O932" s="17" t="n">
        <v>14.207</v>
      </c>
      <c r="P932" s="18" t="n">
        <v>37.9</v>
      </c>
    </row>
    <row r="933">
      <c r="B933" s="10" t="inlineStr">
        <is>
          <t>KOL</t>
        </is>
      </c>
      <c r="C933" s="10" t="inlineStr">
        <is>
          <t>VEH-KOL-020</t>
        </is>
      </c>
      <c r="D933" s="10" t="n">
        <v>16</v>
      </c>
      <c r="E933" s="10" t="inlineStr">
        <is>
          <t>ORD-KOL-001438</t>
        </is>
      </c>
      <c r="F933" s="10" t="inlineStr">
        <is>
          <t>FMCG_RETAIL</t>
        </is>
      </c>
      <c r="G933" s="10" t="inlineStr">
        <is>
          <t>North Kolkata</t>
        </is>
      </c>
      <c r="H933" s="10" t="n">
        <v>197</v>
      </c>
      <c r="I933" s="10" t="n">
        <v>840</v>
      </c>
      <c r="J933" s="10" t="n">
        <v>1080</v>
      </c>
      <c r="K933" s="12" t="n">
        <v>958.7</v>
      </c>
      <c r="L933" s="12" t="n">
        <v>0</v>
      </c>
      <c r="M933" s="10" t="inlineStr">
        <is>
          <t>Yes</t>
        </is>
      </c>
      <c r="N933" s="11" t="n">
        <v>0.198</v>
      </c>
      <c r="O933" s="11" t="n">
        <v>0.267</v>
      </c>
      <c r="P933" s="12" t="n">
        <v>0.7</v>
      </c>
    </row>
    <row r="934">
      <c r="B934" s="16" t="inlineStr">
        <is>
          <t>KOL</t>
        </is>
      </c>
      <c r="C934" s="16" t="inlineStr">
        <is>
          <t>VEH-KOL-020</t>
        </is>
      </c>
      <c r="D934" s="16" t="n">
        <v>17</v>
      </c>
      <c r="E934" s="16" t="inlineStr">
        <is>
          <t>ORD-KOL-001354</t>
        </is>
      </c>
      <c r="F934" s="16" t="inlineStr">
        <is>
          <t>ECOM_B2C</t>
        </is>
      </c>
      <c r="G934" s="16" t="inlineStr">
        <is>
          <t>Howrah</t>
        </is>
      </c>
      <c r="H934" s="16" t="n">
        <v>21.86</v>
      </c>
      <c r="I934" s="16" t="n">
        <v>900</v>
      </c>
      <c r="J934" s="16" t="n">
        <v>1080</v>
      </c>
      <c r="K934" s="18" t="n">
        <v>1014</v>
      </c>
      <c r="L934" s="18" t="n">
        <v>0</v>
      </c>
      <c r="M934" s="16" t="inlineStr">
        <is>
          <t>Yes</t>
        </is>
      </c>
      <c r="N934" s="17" t="n">
        <v>10.173</v>
      </c>
      <c r="O934" s="17" t="n">
        <v>13.734</v>
      </c>
      <c r="P934" s="18" t="n">
        <v>38.4</v>
      </c>
    </row>
    <row r="935">
      <c r="B935" s="10" t="inlineStr">
        <is>
          <t>KOL</t>
        </is>
      </c>
      <c r="C935" s="10" t="inlineStr">
        <is>
          <t>VEH-KOL-024</t>
        </is>
      </c>
      <c r="D935" s="10" t="n">
        <v>1</v>
      </c>
      <c r="E935" s="10" t="inlineStr">
        <is>
          <t>ORD-KOL-001397</t>
        </is>
      </c>
      <c r="F935" s="10" t="inlineStr">
        <is>
          <t>ECOM_B2C</t>
        </is>
      </c>
      <c r="G935" s="10" t="inlineStr">
        <is>
          <t>Central Kolkata</t>
        </is>
      </c>
      <c r="H935" s="10" t="n">
        <v>1.32</v>
      </c>
      <c r="I935" s="10" t="n">
        <v>720</v>
      </c>
      <c r="J935" s="10" t="n">
        <v>900</v>
      </c>
      <c r="K935" s="12" t="n">
        <v>720</v>
      </c>
      <c r="L935" s="12" t="n">
        <v>0</v>
      </c>
      <c r="M935" s="10" t="inlineStr">
        <is>
          <t>Yes</t>
        </is>
      </c>
      <c r="N935" s="11" t="n">
        <v>8.441000000000001</v>
      </c>
      <c r="O935" s="11" t="n">
        <v>11.396</v>
      </c>
      <c r="P935" s="12" t="n">
        <v>27</v>
      </c>
    </row>
    <row r="936">
      <c r="B936" s="16" t="inlineStr">
        <is>
          <t>KOL</t>
        </is>
      </c>
      <c r="C936" s="16" t="inlineStr">
        <is>
          <t>VEH-KOL-024</t>
        </is>
      </c>
      <c r="D936" s="16" t="n">
        <v>2</v>
      </c>
      <c r="E936" s="16" t="inlineStr">
        <is>
          <t>ORD-KOL-001410</t>
        </is>
      </c>
      <c r="F936" s="16" t="inlineStr">
        <is>
          <t>ECOM_B2C</t>
        </is>
      </c>
      <c r="G936" s="16" t="inlineStr">
        <is>
          <t>Howrah</t>
        </is>
      </c>
      <c r="H936" s="16" t="n">
        <v>2.54</v>
      </c>
      <c r="I936" s="16" t="n">
        <v>720</v>
      </c>
      <c r="J936" s="16" t="n">
        <v>900</v>
      </c>
      <c r="K936" s="18" t="n">
        <v>730.9</v>
      </c>
      <c r="L936" s="18" t="n">
        <v>0</v>
      </c>
      <c r="M936" s="16" t="inlineStr">
        <is>
          <t>Yes</t>
        </is>
      </c>
      <c r="N936" s="17" t="n">
        <v>2.095</v>
      </c>
      <c r="O936" s="17" t="n">
        <v>2.829</v>
      </c>
      <c r="P936" s="18" t="n">
        <v>6.9</v>
      </c>
    </row>
    <row r="937">
      <c r="B937" s="10" t="inlineStr">
        <is>
          <t>KOL</t>
        </is>
      </c>
      <c r="C937" s="10" t="inlineStr">
        <is>
          <t>VEH-KOL-024</t>
        </is>
      </c>
      <c r="D937" s="10" t="n">
        <v>3</v>
      </c>
      <c r="E937" s="10" t="inlineStr">
        <is>
          <t>ORD-KOL-001417</t>
        </is>
      </c>
      <c r="F937" s="10" t="inlineStr">
        <is>
          <t>ECOM_B2C</t>
        </is>
      </c>
      <c r="G937" s="10" t="inlineStr">
        <is>
          <t>South Kolkata</t>
        </is>
      </c>
      <c r="H937" s="10" t="n">
        <v>0.5600000000000001</v>
      </c>
      <c r="I937" s="10" t="n">
        <v>720</v>
      </c>
      <c r="J937" s="10" t="n">
        <v>900</v>
      </c>
      <c r="K937" s="12" t="n">
        <v>759.3</v>
      </c>
      <c r="L937" s="12" t="n">
        <v>0</v>
      </c>
      <c r="M937" s="10" t="inlineStr">
        <is>
          <t>Yes</t>
        </is>
      </c>
      <c r="N937" s="11" t="n">
        <v>7.781</v>
      </c>
      <c r="O937" s="11" t="n">
        <v>10.505</v>
      </c>
      <c r="P937" s="12" t="n">
        <v>24.5</v>
      </c>
    </row>
    <row r="938">
      <c r="B938" s="16" t="inlineStr">
        <is>
          <t>KOL</t>
        </is>
      </c>
      <c r="C938" s="16" t="inlineStr">
        <is>
          <t>VEH-KOL-024</t>
        </is>
      </c>
      <c r="D938" s="16" t="n">
        <v>4</v>
      </c>
      <c r="E938" s="16" t="inlineStr">
        <is>
          <t>ORD-KOL-001341</t>
        </is>
      </c>
      <c r="F938" s="16" t="inlineStr">
        <is>
          <t>ECOM_B2C</t>
        </is>
      </c>
      <c r="G938" s="16" t="inlineStr">
        <is>
          <t>Howrah</t>
        </is>
      </c>
      <c r="H938" s="16" t="n">
        <v>1.12</v>
      </c>
      <c r="I938" s="16" t="n">
        <v>900</v>
      </c>
      <c r="J938" s="16" t="n">
        <v>1080</v>
      </c>
      <c r="K938" s="18" t="n">
        <v>793.4</v>
      </c>
      <c r="L938" s="18" t="n">
        <v>0</v>
      </c>
      <c r="M938" s="16" t="inlineStr">
        <is>
          <t>Yes</t>
        </is>
      </c>
      <c r="N938" s="17" t="n">
        <v>9.210000000000001</v>
      </c>
      <c r="O938" s="17" t="n">
        <v>12.434</v>
      </c>
      <c r="P938" s="18" t="n">
        <v>30.1</v>
      </c>
    </row>
    <row r="939">
      <c r="B939" s="10" t="inlineStr">
        <is>
          <t>KOL</t>
        </is>
      </c>
      <c r="C939" s="10" t="inlineStr">
        <is>
          <t>VEH-KOL-024</t>
        </is>
      </c>
      <c r="D939" s="10" t="n">
        <v>5</v>
      </c>
      <c r="E939" s="10" t="inlineStr">
        <is>
          <t>ORD-KOL-001339</t>
        </is>
      </c>
      <c r="F939" s="10" t="inlineStr">
        <is>
          <t>ECOM_B2C</t>
        </is>
      </c>
      <c r="G939" s="10" t="inlineStr">
        <is>
          <t>Howrah</t>
        </is>
      </c>
      <c r="H939" s="10" t="n">
        <v>0.58</v>
      </c>
      <c r="I939" s="10" t="n">
        <v>840</v>
      </c>
      <c r="J939" s="10" t="n">
        <v>960</v>
      </c>
      <c r="K939" s="12" t="n">
        <v>906.3</v>
      </c>
      <c r="L939" s="12" t="n">
        <v>0</v>
      </c>
      <c r="M939" s="10" t="inlineStr">
        <is>
          <t>Yes</t>
        </is>
      </c>
      <c r="N939" s="11" t="n">
        <v>0.707</v>
      </c>
      <c r="O939" s="11" t="n">
        <v>0.955</v>
      </c>
      <c r="P939" s="12" t="n">
        <v>2.3</v>
      </c>
    </row>
    <row r="940">
      <c r="B940" s="16" t="inlineStr">
        <is>
          <t>KOL</t>
        </is>
      </c>
      <c r="C940" s="16" t="inlineStr">
        <is>
          <t>VEH-KOL-024</t>
        </is>
      </c>
      <c r="D940" s="16" t="n">
        <v>6</v>
      </c>
      <c r="E940" s="16" t="inlineStr">
        <is>
          <t>ORD-KOL-001405</t>
        </is>
      </c>
      <c r="F940" s="16" t="inlineStr">
        <is>
          <t>ECOM_B2C</t>
        </is>
      </c>
      <c r="G940" s="16" t="inlineStr">
        <is>
          <t>Howrah</t>
        </is>
      </c>
      <c r="H940" s="16" t="n">
        <v>2.02</v>
      </c>
      <c r="I940" s="16" t="n">
        <v>840</v>
      </c>
      <c r="J940" s="16" t="n">
        <v>960</v>
      </c>
      <c r="K940" s="18" t="n">
        <v>922.9</v>
      </c>
      <c r="L940" s="18" t="n">
        <v>0</v>
      </c>
      <c r="M940" s="16" t="inlineStr">
        <is>
          <t>Yes</t>
        </is>
      </c>
      <c r="N940" s="17" t="n">
        <v>3.862</v>
      </c>
      <c r="O940" s="17" t="n">
        <v>5.213</v>
      </c>
      <c r="P940" s="18" t="n">
        <v>12.6</v>
      </c>
    </row>
    <row r="941">
      <c r="B941" s="10" t="inlineStr">
        <is>
          <t>KOL</t>
        </is>
      </c>
      <c r="C941" s="10" t="inlineStr">
        <is>
          <t>VEH-KOL-024</t>
        </is>
      </c>
      <c r="D941" s="10" t="n">
        <v>7</v>
      </c>
      <c r="E941" s="10" t="inlineStr">
        <is>
          <t>ORD-KOL-001402</t>
        </is>
      </c>
      <c r="F941" s="10" t="inlineStr">
        <is>
          <t>ECOM_B2C</t>
        </is>
      </c>
      <c r="G941" s="10" t="inlineStr">
        <is>
          <t>Howrah</t>
        </is>
      </c>
      <c r="H941" s="10" t="n">
        <v>2.59</v>
      </c>
      <c r="I941" s="10" t="n">
        <v>900</v>
      </c>
      <c r="J941" s="10" t="n">
        <v>1080</v>
      </c>
      <c r="K941" s="12" t="n">
        <v>930.2</v>
      </c>
      <c r="L941" s="12" t="n">
        <v>0</v>
      </c>
      <c r="M941" s="10" t="inlineStr">
        <is>
          <t>Yes</t>
        </is>
      </c>
      <c r="N941" s="11" t="n">
        <v>1.003</v>
      </c>
      <c r="O941" s="11" t="n">
        <v>1.353</v>
      </c>
      <c r="P941" s="12" t="n">
        <v>3.3</v>
      </c>
    </row>
    <row r="942">
      <c r="B942" s="16" t="inlineStr">
        <is>
          <t>KOL</t>
        </is>
      </c>
      <c r="C942" s="16" t="inlineStr">
        <is>
          <t>VEH-KOL-024</t>
        </is>
      </c>
      <c r="D942" s="16" t="n">
        <v>8</v>
      </c>
      <c r="E942" s="16" t="inlineStr">
        <is>
          <t>ORD-KOL-001416</t>
        </is>
      </c>
      <c r="F942" s="16" t="inlineStr">
        <is>
          <t>ECOM_B2C</t>
        </is>
      </c>
      <c r="G942" s="16" t="inlineStr">
        <is>
          <t>Howrah</t>
        </is>
      </c>
      <c r="H942" s="16" t="n">
        <v>2.87</v>
      </c>
      <c r="I942" s="16" t="n">
        <v>900</v>
      </c>
      <c r="J942" s="16" t="n">
        <v>1080</v>
      </c>
      <c r="K942" s="18" t="n">
        <v>935.9</v>
      </c>
      <c r="L942" s="18" t="n">
        <v>0</v>
      </c>
      <c r="M942" s="16" t="inlineStr">
        <is>
          <t>Yes</t>
        </is>
      </c>
      <c r="N942" s="17" t="n">
        <v>0.497</v>
      </c>
      <c r="O942" s="17" t="n">
        <v>0.671</v>
      </c>
      <c r="P942" s="18" t="n">
        <v>1.6</v>
      </c>
    </row>
    <row r="943">
      <c r="B943" s="10" t="inlineStr">
        <is>
          <t>KOL</t>
        </is>
      </c>
      <c r="C943" s="10" t="inlineStr">
        <is>
          <t>VEH-KOL-024</t>
        </is>
      </c>
      <c r="D943" s="10" t="n">
        <v>9</v>
      </c>
      <c r="E943" s="10" t="inlineStr">
        <is>
          <t>ORD-KOL-001404</t>
        </is>
      </c>
      <c r="F943" s="10" t="inlineStr">
        <is>
          <t>ECOM_B2C</t>
        </is>
      </c>
      <c r="G943" s="10" t="inlineStr">
        <is>
          <t>Howrah</t>
        </is>
      </c>
      <c r="H943" s="10" t="n">
        <v>1.34</v>
      </c>
      <c r="I943" s="10" t="n">
        <v>900</v>
      </c>
      <c r="J943" s="10" t="n">
        <v>1080</v>
      </c>
      <c r="K943" s="12" t="n">
        <v>939.9</v>
      </c>
      <c r="L943" s="12" t="n">
        <v>0</v>
      </c>
      <c r="M943" s="10" t="inlineStr">
        <is>
          <t>Yes</t>
        </is>
      </c>
      <c r="N943" s="11" t="n">
        <v>0</v>
      </c>
      <c r="O943" s="11" t="n">
        <v>0</v>
      </c>
      <c r="P943" s="12" t="n">
        <v>0</v>
      </c>
    </row>
    <row r="944">
      <c r="B944" s="16" t="inlineStr">
        <is>
          <t>KOL</t>
        </is>
      </c>
      <c r="C944" s="16" t="inlineStr">
        <is>
          <t>VEH-KOL-024</t>
        </is>
      </c>
      <c r="D944" s="16" t="n">
        <v>10</v>
      </c>
      <c r="E944" s="16" t="inlineStr">
        <is>
          <t>ORD-KOL-001368</t>
        </is>
      </c>
      <c r="F944" s="16" t="inlineStr">
        <is>
          <t>ECOM_B2C</t>
        </is>
      </c>
      <c r="G944" s="16" t="inlineStr">
        <is>
          <t>Howrah</t>
        </is>
      </c>
      <c r="H944" s="16" t="n">
        <v>2.61</v>
      </c>
      <c r="I944" s="16" t="n">
        <v>900</v>
      </c>
      <c r="J944" s="16" t="n">
        <v>1080</v>
      </c>
      <c r="K944" s="18" t="n">
        <v>952.1</v>
      </c>
      <c r="L944" s="18" t="n">
        <v>0</v>
      </c>
      <c r="M944" s="16" t="inlineStr">
        <is>
          <t>Yes</t>
        </is>
      </c>
      <c r="N944" s="17" t="n">
        <v>2.534</v>
      </c>
      <c r="O944" s="17" t="n">
        <v>3.421</v>
      </c>
      <c r="P944" s="18" t="n">
        <v>8.300000000000001</v>
      </c>
    </row>
    <row r="945">
      <c r="B945" s="10" t="inlineStr">
        <is>
          <t>KOL</t>
        </is>
      </c>
      <c r="C945" s="10" t="inlineStr">
        <is>
          <t>VEH-KOL-024</t>
        </is>
      </c>
      <c r="D945" s="10" t="n">
        <v>11</v>
      </c>
      <c r="E945" s="10" t="inlineStr">
        <is>
          <t>ORD-KOL-001408</t>
        </is>
      </c>
      <c r="F945" s="10" t="inlineStr">
        <is>
          <t>ECOM_B2C</t>
        </is>
      </c>
      <c r="G945" s="10" t="inlineStr">
        <is>
          <t>South Kolkata</t>
        </is>
      </c>
      <c r="H945" s="10" t="n">
        <v>1.19</v>
      </c>
      <c r="I945" s="10" t="n">
        <v>900</v>
      </c>
      <c r="J945" s="10" t="n">
        <v>1080</v>
      </c>
      <c r="K945" s="12" t="n">
        <v>977.5</v>
      </c>
      <c r="L945" s="12" t="n">
        <v>0</v>
      </c>
      <c r="M945" s="10" t="inlineStr">
        <is>
          <t>Yes</t>
        </is>
      </c>
      <c r="N945" s="11" t="n">
        <v>6.801</v>
      </c>
      <c r="O945" s="11" t="n">
        <v>9.182</v>
      </c>
      <c r="P945" s="12" t="n">
        <v>21.4</v>
      </c>
    </row>
    <row r="946">
      <c r="B946" s="16" t="inlineStr">
        <is>
          <t>KOL</t>
        </is>
      </c>
      <c r="C946" s="16" t="inlineStr">
        <is>
          <t>VEH-KOL-024</t>
        </is>
      </c>
      <c r="D946" s="16" t="n">
        <v>12</v>
      </c>
      <c r="E946" s="16" t="inlineStr">
        <is>
          <t>ORD-KOL-001338</t>
        </is>
      </c>
      <c r="F946" s="16" t="inlineStr">
        <is>
          <t>ECOM_B2C</t>
        </is>
      </c>
      <c r="G946" s="16" t="inlineStr">
        <is>
          <t>South Kolkata</t>
        </is>
      </c>
      <c r="H946" s="16" t="n">
        <v>1.53</v>
      </c>
      <c r="I946" s="16" t="n">
        <v>1080</v>
      </c>
      <c r="J946" s="16" t="n">
        <v>1260</v>
      </c>
      <c r="K946" s="18" t="n">
        <v>984.8</v>
      </c>
      <c r="L946" s="18" t="n">
        <v>0</v>
      </c>
      <c r="M946" s="16" t="inlineStr">
        <is>
          <t>Yes</t>
        </is>
      </c>
      <c r="N946" s="17" t="n">
        <v>1.058</v>
      </c>
      <c r="O946" s="17" t="n">
        <v>1.428</v>
      </c>
      <c r="P946" s="18" t="n">
        <v>3.3</v>
      </c>
    </row>
    <row r="947">
      <c r="B947" s="10" t="inlineStr">
        <is>
          <t>KOL</t>
        </is>
      </c>
      <c r="C947" s="10" t="inlineStr">
        <is>
          <t>VEH-KOL-024</t>
        </is>
      </c>
      <c r="D947" s="10" t="n">
        <v>13</v>
      </c>
      <c r="E947" s="10" t="inlineStr">
        <is>
          <t>ORD-KOL-001346</t>
        </is>
      </c>
      <c r="F947" s="10" t="inlineStr">
        <is>
          <t>ECOM_B2C</t>
        </is>
      </c>
      <c r="G947" s="10" t="inlineStr">
        <is>
          <t>South Kolkata</t>
        </is>
      </c>
      <c r="H947" s="10" t="n">
        <v>4.12</v>
      </c>
      <c r="I947" s="10" t="n">
        <v>1080</v>
      </c>
      <c r="J947" s="10" t="n">
        <v>1260</v>
      </c>
      <c r="K947" s="12" t="n">
        <v>1092.7</v>
      </c>
      <c r="L947" s="12" t="n">
        <v>0</v>
      </c>
      <c r="M947" s="10" t="inlineStr">
        <is>
          <t>Yes</t>
        </is>
      </c>
      <c r="N947" s="11" t="n">
        <v>1.386</v>
      </c>
      <c r="O947" s="11" t="n">
        <v>1.872</v>
      </c>
      <c r="P947" s="12" t="n">
        <v>8.699999999999999</v>
      </c>
    </row>
    <row r="948">
      <c r="B948" s="16" t="inlineStr">
        <is>
          <t>KOL</t>
        </is>
      </c>
      <c r="C948" s="16" t="inlineStr">
        <is>
          <t>VEH-KOL-024</t>
        </is>
      </c>
      <c r="D948" s="16" t="n">
        <v>14</v>
      </c>
      <c r="E948" s="16" t="inlineStr">
        <is>
          <t>ORD-KOL-001361</t>
        </is>
      </c>
      <c r="F948" s="16" t="inlineStr">
        <is>
          <t>ECOM_B2C</t>
        </is>
      </c>
      <c r="G948" s="16" t="inlineStr">
        <is>
          <t>Howrah</t>
        </is>
      </c>
      <c r="H948" s="16" t="n">
        <v>2.77</v>
      </c>
      <c r="I948" s="16" t="n">
        <v>1080</v>
      </c>
      <c r="J948" s="16" t="n">
        <v>1260</v>
      </c>
      <c r="K948" s="18" t="n">
        <v>1144.9</v>
      </c>
      <c r="L948" s="18" t="n">
        <v>0</v>
      </c>
      <c r="M948" s="16" t="inlineStr">
        <is>
          <t>Yes</t>
        </is>
      </c>
      <c r="N948" s="17" t="n">
        <v>7.367</v>
      </c>
      <c r="O948" s="17" t="n">
        <v>9.945</v>
      </c>
      <c r="P948" s="18" t="n">
        <v>48.2</v>
      </c>
    </row>
    <row r="949">
      <c r="B949" s="10" t="inlineStr">
        <is>
          <t>KOL</t>
        </is>
      </c>
      <c r="C949" s="10" t="inlineStr">
        <is>
          <t>VEH-KOL-024</t>
        </is>
      </c>
      <c r="D949" s="10" t="n">
        <v>15</v>
      </c>
      <c r="E949" s="10" t="inlineStr">
        <is>
          <t>ORD-KOL-001348</t>
        </is>
      </c>
      <c r="F949" s="10" t="inlineStr">
        <is>
          <t>ECOM_B2C</t>
        </is>
      </c>
      <c r="G949" s="10" t="inlineStr">
        <is>
          <t>Howrah</t>
        </is>
      </c>
      <c r="H949" s="10" t="n">
        <v>1.75</v>
      </c>
      <c r="I949" s="10" t="n">
        <v>1080</v>
      </c>
      <c r="J949" s="10" t="n">
        <v>1260</v>
      </c>
      <c r="K949" s="12" t="n">
        <v>1162.5</v>
      </c>
      <c r="L949" s="12" t="n">
        <v>0</v>
      </c>
      <c r="M949" s="10" t="inlineStr">
        <is>
          <t>Yes</t>
        </is>
      </c>
      <c r="N949" s="11" t="n">
        <v>2.083</v>
      </c>
      <c r="O949" s="11" t="n">
        <v>2.812</v>
      </c>
      <c r="P949" s="12" t="n">
        <v>13.6</v>
      </c>
    </row>
    <row r="950">
      <c r="B950" s="16" t="inlineStr">
        <is>
          <t>MUM</t>
        </is>
      </c>
      <c r="C950" s="16" t="inlineStr">
        <is>
          <t>VEH-MUM-001</t>
        </is>
      </c>
      <c r="D950" s="16" t="n">
        <v>1</v>
      </c>
      <c r="E950" s="16" t="inlineStr">
        <is>
          <t>ORD-MUM-002477</t>
        </is>
      </c>
      <c r="F950" s="16" t="inlineStr">
        <is>
          <t>MODERN_RETAIL</t>
        </is>
      </c>
      <c r="G950" s="16" t="inlineStr">
        <is>
          <t>Andheri</t>
        </is>
      </c>
      <c r="H950" s="16" t="n">
        <v>111</v>
      </c>
      <c r="I950" s="16" t="n">
        <v>600</v>
      </c>
      <c r="J950" s="16" t="n">
        <v>900</v>
      </c>
      <c r="K950" s="18" t="n">
        <v>534.5</v>
      </c>
      <c r="L950" s="18" t="n">
        <v>0</v>
      </c>
      <c r="M950" s="16" t="inlineStr">
        <is>
          <t>Yes</t>
        </is>
      </c>
      <c r="N950" s="17" t="n">
        <v>26.505</v>
      </c>
      <c r="O950" s="17" t="n">
        <v>35.781</v>
      </c>
      <c r="P950" s="18" t="n">
        <v>81.90000000000001</v>
      </c>
    </row>
    <row r="951">
      <c r="B951" s="10" t="inlineStr">
        <is>
          <t>MUM</t>
        </is>
      </c>
      <c r="C951" s="10" t="inlineStr">
        <is>
          <t>VEH-MUM-001</t>
        </is>
      </c>
      <c r="D951" s="10" t="n">
        <v>2</v>
      </c>
      <c r="E951" s="10" t="inlineStr">
        <is>
          <t>ORD-MUM-002488</t>
        </is>
      </c>
      <c r="F951" s="10" t="inlineStr">
        <is>
          <t>MODERN_RETAIL</t>
        </is>
      </c>
      <c r="G951" s="10" t="inlineStr">
        <is>
          <t>Andheri</t>
        </is>
      </c>
      <c r="H951" s="10" t="n">
        <v>189.9</v>
      </c>
      <c r="I951" s="10" t="n">
        <v>600</v>
      </c>
      <c r="J951" s="10" t="n">
        <v>900</v>
      </c>
      <c r="K951" s="12" t="n">
        <v>615.7</v>
      </c>
      <c r="L951" s="12" t="n">
        <v>0</v>
      </c>
      <c r="M951" s="10" t="inlineStr">
        <is>
          <t>Yes</t>
        </is>
      </c>
      <c r="N951" s="11" t="n">
        <v>0.329</v>
      </c>
      <c r="O951" s="11" t="n">
        <v>0.444</v>
      </c>
      <c r="P951" s="12" t="n">
        <v>1.8</v>
      </c>
    </row>
    <row r="952">
      <c r="B952" s="16" t="inlineStr">
        <is>
          <t>MUM</t>
        </is>
      </c>
      <c r="C952" s="16" t="inlineStr">
        <is>
          <t>VEH-MUM-001</t>
        </is>
      </c>
      <c r="D952" s="16" t="n">
        <v>3</v>
      </c>
      <c r="E952" s="16" t="inlineStr">
        <is>
          <t>ORD-MUM-002465</t>
        </is>
      </c>
      <c r="F952" s="16" t="inlineStr">
        <is>
          <t>MODERN_RETAIL</t>
        </is>
      </c>
      <c r="G952" s="16" t="inlineStr">
        <is>
          <t>Bandra</t>
        </is>
      </c>
      <c r="H952" s="16" t="n">
        <v>125.17</v>
      </c>
      <c r="I952" s="16" t="n">
        <v>600</v>
      </c>
      <c r="J952" s="16" t="n">
        <v>900</v>
      </c>
      <c r="K952" s="18" t="n">
        <v>660.9</v>
      </c>
      <c r="L952" s="18" t="n">
        <v>0</v>
      </c>
      <c r="M952" s="16" t="inlineStr">
        <is>
          <t>Yes</t>
        </is>
      </c>
      <c r="N952" s="17" t="n">
        <v>5.13</v>
      </c>
      <c r="O952" s="17" t="n">
        <v>6.925</v>
      </c>
      <c r="P952" s="18" t="n">
        <v>28.5</v>
      </c>
    </row>
    <row r="953">
      <c r="B953" s="10" t="inlineStr">
        <is>
          <t>MUM</t>
        </is>
      </c>
      <c r="C953" s="10" t="inlineStr">
        <is>
          <t>VEH-MUM-001</t>
        </is>
      </c>
      <c r="D953" s="10" t="n">
        <v>4</v>
      </c>
      <c r="E953" s="10" t="inlineStr">
        <is>
          <t>ORD-MUM-002514</t>
        </is>
      </c>
      <c r="F953" s="10" t="inlineStr">
        <is>
          <t>AUTOMOTIVE</t>
        </is>
      </c>
      <c r="G953" s="10" t="inlineStr">
        <is>
          <t>Bandra</t>
        </is>
      </c>
      <c r="H953" s="10" t="n">
        <v>177.74</v>
      </c>
      <c r="I953" s="10" t="n">
        <v>480</v>
      </c>
      <c r="J953" s="10" t="n">
        <v>720</v>
      </c>
      <c r="K953" s="12" t="n">
        <v>675.4</v>
      </c>
      <c r="L953" s="12" t="n">
        <v>0</v>
      </c>
      <c r="M953" s="10" t="inlineStr">
        <is>
          <t>Yes</t>
        </is>
      </c>
      <c r="N953" s="11" t="n">
        <v>0.062</v>
      </c>
      <c r="O953" s="11" t="n">
        <v>0.08400000000000001</v>
      </c>
      <c r="P953" s="12" t="n">
        <v>0.2</v>
      </c>
    </row>
    <row r="954">
      <c r="B954" s="16" t="inlineStr">
        <is>
          <t>MUM</t>
        </is>
      </c>
      <c r="C954" s="16" t="inlineStr">
        <is>
          <t>VEH-MUM-001</t>
        </is>
      </c>
      <c r="D954" s="16" t="n">
        <v>5</v>
      </c>
      <c r="E954" s="16" t="inlineStr">
        <is>
          <t>ORD-MUM-002482</t>
        </is>
      </c>
      <c r="F954" s="16" t="inlineStr">
        <is>
          <t>MODERN_RETAIL</t>
        </is>
      </c>
      <c r="G954" s="16" t="inlineStr">
        <is>
          <t>Bandra</t>
        </is>
      </c>
      <c r="H954" s="16" t="n">
        <v>190.76</v>
      </c>
      <c r="I954" s="16" t="n">
        <v>480</v>
      </c>
      <c r="J954" s="16" t="n">
        <v>720</v>
      </c>
      <c r="K954" s="18" t="n">
        <v>698.1</v>
      </c>
      <c r="L954" s="18" t="n">
        <v>0</v>
      </c>
      <c r="M954" s="16" t="inlineStr">
        <is>
          <t>Yes</t>
        </is>
      </c>
      <c r="N954" s="17" t="n">
        <v>1.897</v>
      </c>
      <c r="O954" s="17" t="n">
        <v>2.561</v>
      </c>
      <c r="P954" s="18" t="n">
        <v>6.4</v>
      </c>
    </row>
    <row r="955">
      <c r="B955" s="10" t="inlineStr">
        <is>
          <t>MUM</t>
        </is>
      </c>
      <c r="C955" s="10" t="inlineStr">
        <is>
          <t>VEH-MUM-001</t>
        </is>
      </c>
      <c r="D955" s="10" t="n">
        <v>6</v>
      </c>
      <c r="E955" s="10" t="inlineStr">
        <is>
          <t>ORD-MUM-002492</t>
        </is>
      </c>
      <c r="F955" s="10" t="inlineStr">
        <is>
          <t>MODERN_RETAIL</t>
        </is>
      </c>
      <c r="G955" s="10" t="inlineStr">
        <is>
          <t>Bandra</t>
        </is>
      </c>
      <c r="H955" s="10" t="n">
        <v>77.31</v>
      </c>
      <c r="I955" s="10" t="n">
        <v>600</v>
      </c>
      <c r="J955" s="10" t="n">
        <v>900</v>
      </c>
      <c r="K955" s="12" t="n">
        <v>714.8</v>
      </c>
      <c r="L955" s="12" t="n">
        <v>0</v>
      </c>
      <c r="M955" s="10" t="inlineStr">
        <is>
          <t>Yes</t>
        </is>
      </c>
      <c r="N955" s="11" t="n">
        <v>0</v>
      </c>
      <c r="O955" s="11" t="n">
        <v>0</v>
      </c>
      <c r="P955" s="12" t="n">
        <v>0</v>
      </c>
    </row>
    <row r="956">
      <c r="B956" s="16" t="inlineStr">
        <is>
          <t>MUM</t>
        </is>
      </c>
      <c r="C956" s="16" t="inlineStr">
        <is>
          <t>VEH-MUM-001</t>
        </is>
      </c>
      <c r="D956" s="16" t="n">
        <v>7</v>
      </c>
      <c r="E956" s="16" t="inlineStr">
        <is>
          <t>ORD-MUM-002469</t>
        </is>
      </c>
      <c r="F956" s="16" t="inlineStr">
        <is>
          <t>MODERN_RETAIL</t>
        </is>
      </c>
      <c r="G956" s="16" t="inlineStr">
        <is>
          <t>Bandra</t>
        </is>
      </c>
      <c r="H956" s="16" t="n">
        <v>338.35</v>
      </c>
      <c r="I956" s="16" t="n">
        <v>600</v>
      </c>
      <c r="J956" s="16" t="n">
        <v>900</v>
      </c>
      <c r="K956" s="18" t="n">
        <v>731.5</v>
      </c>
      <c r="L956" s="18" t="n">
        <v>0</v>
      </c>
      <c r="M956" s="16" t="inlineStr">
        <is>
          <t>Yes</t>
        </is>
      </c>
      <c r="N956" s="17" t="n">
        <v>1.18</v>
      </c>
      <c r="O956" s="17" t="n">
        <v>1.593</v>
      </c>
      <c r="P956" s="18" t="n">
        <v>4</v>
      </c>
    </row>
    <row r="957">
      <c r="B957" s="10" t="inlineStr">
        <is>
          <t>MUM</t>
        </is>
      </c>
      <c r="C957" s="10" t="inlineStr">
        <is>
          <t>VEH-MUM-001</t>
        </is>
      </c>
      <c r="D957" s="10" t="n">
        <v>8</v>
      </c>
      <c r="E957" s="10" t="inlineStr">
        <is>
          <t>ORD-MUM-002490</t>
        </is>
      </c>
      <c r="F957" s="10" t="inlineStr">
        <is>
          <t>MODERN_RETAIL</t>
        </is>
      </c>
      <c r="G957" s="10" t="inlineStr">
        <is>
          <t>Bandra</t>
        </is>
      </c>
      <c r="H957" s="10" t="n">
        <v>126.44</v>
      </c>
      <c r="I957" s="10" t="n">
        <v>600</v>
      </c>
      <c r="J957" s="10" t="n">
        <v>900</v>
      </c>
      <c r="K957" s="12" t="n">
        <v>753.3</v>
      </c>
      <c r="L957" s="12" t="n">
        <v>0</v>
      </c>
      <c r="M957" s="10" t="inlineStr">
        <is>
          <t>Yes</t>
        </is>
      </c>
      <c r="N957" s="11" t="n">
        <v>0</v>
      </c>
      <c r="O957" s="11" t="n">
        <v>0</v>
      </c>
      <c r="P957" s="12" t="n">
        <v>0</v>
      </c>
    </row>
    <row r="958">
      <c r="B958" s="16" t="inlineStr">
        <is>
          <t>MUM</t>
        </is>
      </c>
      <c r="C958" s="16" t="inlineStr">
        <is>
          <t>VEH-MUM-001</t>
        </is>
      </c>
      <c r="D958" s="16" t="n">
        <v>9</v>
      </c>
      <c r="E958" s="16" t="inlineStr">
        <is>
          <t>ORD-MUM-002495</t>
        </is>
      </c>
      <c r="F958" s="16" t="inlineStr">
        <is>
          <t>MODERN_RETAIL</t>
        </is>
      </c>
      <c r="G958" s="16" t="inlineStr">
        <is>
          <t>Bandra</t>
        </is>
      </c>
      <c r="H958" s="16" t="n">
        <v>108.32</v>
      </c>
      <c r="I958" s="16" t="n">
        <v>600</v>
      </c>
      <c r="J958" s="16" t="n">
        <v>900</v>
      </c>
      <c r="K958" s="18" t="n">
        <v>768.6</v>
      </c>
      <c r="L958" s="18" t="n">
        <v>0</v>
      </c>
      <c r="M958" s="16" t="inlineStr">
        <is>
          <t>Yes</t>
        </is>
      </c>
      <c r="N958" s="17" t="n">
        <v>0.251</v>
      </c>
      <c r="O958" s="17" t="n">
        <v>0.339</v>
      </c>
      <c r="P958" s="18" t="n">
        <v>0.9</v>
      </c>
    </row>
    <row r="959">
      <c r="B959" s="10" t="inlineStr">
        <is>
          <t>MUM</t>
        </is>
      </c>
      <c r="C959" s="10" t="inlineStr">
        <is>
          <t>VEH-MUM-001</t>
        </is>
      </c>
      <c r="D959" s="10" t="n">
        <v>10</v>
      </c>
      <c r="E959" s="10" t="inlineStr">
        <is>
          <t>ORD-MUM-002491</t>
        </is>
      </c>
      <c r="F959" s="10" t="inlineStr">
        <is>
          <t>MODERN_RETAIL</t>
        </is>
      </c>
      <c r="G959" s="10" t="inlineStr">
        <is>
          <t>Andheri</t>
        </is>
      </c>
      <c r="H959" s="10" t="n">
        <v>366.7</v>
      </c>
      <c r="I959" s="10" t="n">
        <v>600</v>
      </c>
      <c r="J959" s="10" t="n">
        <v>900</v>
      </c>
      <c r="K959" s="12" t="n">
        <v>790</v>
      </c>
      <c r="L959" s="12" t="n">
        <v>0</v>
      </c>
      <c r="M959" s="10" t="inlineStr">
        <is>
          <t>Yes</t>
        </is>
      </c>
      <c r="N959" s="11" t="n">
        <v>2.22</v>
      </c>
      <c r="O959" s="11" t="n">
        <v>2.997</v>
      </c>
      <c r="P959" s="12" t="n">
        <v>7.5</v>
      </c>
    </row>
    <row r="960">
      <c r="B960" s="16" t="inlineStr">
        <is>
          <t>MUM</t>
        </is>
      </c>
      <c r="C960" s="16" t="inlineStr">
        <is>
          <t>VEH-MUM-001</t>
        </is>
      </c>
      <c r="D960" s="16" t="n">
        <v>11</v>
      </c>
      <c r="E960" s="16" t="inlineStr">
        <is>
          <t>ORD-MUM-002513</t>
        </is>
      </c>
      <c r="F960" s="16" t="inlineStr">
        <is>
          <t>AUTOMOTIVE</t>
        </is>
      </c>
      <c r="G960" s="16" t="inlineStr">
        <is>
          <t>Andheri</t>
        </is>
      </c>
      <c r="H960" s="16" t="n">
        <v>38.48</v>
      </c>
      <c r="I960" s="16" t="n">
        <v>660</v>
      </c>
      <c r="J960" s="16" t="n">
        <v>900</v>
      </c>
      <c r="K960" s="18" t="n">
        <v>822.3</v>
      </c>
      <c r="L960" s="18" t="n">
        <v>0</v>
      </c>
      <c r="M960" s="16" t="inlineStr">
        <is>
          <t>Yes</t>
        </is>
      </c>
      <c r="N960" s="17" t="n">
        <v>2.801</v>
      </c>
      <c r="O960" s="17" t="n">
        <v>3.781</v>
      </c>
      <c r="P960" s="18" t="n">
        <v>9.5</v>
      </c>
    </row>
    <row r="961">
      <c r="B961" s="10" t="inlineStr">
        <is>
          <t>MUM</t>
        </is>
      </c>
      <c r="C961" s="10" t="inlineStr">
        <is>
          <t>VEH-MUM-001</t>
        </is>
      </c>
      <c r="D961" s="10" t="n">
        <v>12</v>
      </c>
      <c r="E961" s="10" t="inlineStr">
        <is>
          <t>ORD-MUM-002522</t>
        </is>
      </c>
      <c r="F961" s="10" t="inlineStr">
        <is>
          <t>AUTOMOTIVE</t>
        </is>
      </c>
      <c r="G961" s="10" t="inlineStr">
        <is>
          <t>Andheri</t>
        </is>
      </c>
      <c r="H961" s="10" t="n">
        <v>31.72</v>
      </c>
      <c r="I961" s="10" t="n">
        <v>840</v>
      </c>
      <c r="J961" s="10" t="n">
        <v>1080</v>
      </c>
      <c r="K961" s="12" t="n">
        <v>833.7</v>
      </c>
      <c r="L961" s="12" t="n">
        <v>0</v>
      </c>
      <c r="M961" s="10" t="inlineStr">
        <is>
          <t>Yes</t>
        </is>
      </c>
      <c r="N961" s="11" t="n">
        <v>0</v>
      </c>
      <c r="O961" s="11" t="n">
        <v>0</v>
      </c>
      <c r="P961" s="12" t="n">
        <v>0</v>
      </c>
    </row>
    <row r="962">
      <c r="B962" s="16" t="inlineStr">
        <is>
          <t>MUM</t>
        </is>
      </c>
      <c r="C962" s="16" t="inlineStr">
        <is>
          <t>VEH-MUM-001</t>
        </is>
      </c>
      <c r="D962" s="16" t="n">
        <v>13</v>
      </c>
      <c r="E962" s="16" t="inlineStr">
        <is>
          <t>ORD-MUM-002392</t>
        </is>
      </c>
      <c r="F962" s="16" t="inlineStr">
        <is>
          <t>ECOM_B2C</t>
        </is>
      </c>
      <c r="G962" s="16" t="inlineStr">
        <is>
          <t>Thane</t>
        </is>
      </c>
      <c r="H962" s="16" t="n">
        <v>10.56</v>
      </c>
      <c r="I962" s="16" t="n">
        <v>720</v>
      </c>
      <c r="J962" s="16" t="n">
        <v>900</v>
      </c>
      <c r="K962" s="18" t="n">
        <v>898.4</v>
      </c>
      <c r="L962" s="18" t="n">
        <v>0</v>
      </c>
      <c r="M962" s="16" t="inlineStr">
        <is>
          <t>Yes</t>
        </is>
      </c>
      <c r="N962" s="17" t="n">
        <v>14.076</v>
      </c>
      <c r="O962" s="17" t="n">
        <v>19.002</v>
      </c>
      <c r="P962" s="18" t="n">
        <v>47.3</v>
      </c>
    </row>
    <row r="963">
      <c r="B963" s="10" t="inlineStr">
        <is>
          <t>MUM</t>
        </is>
      </c>
      <c r="C963" s="10" t="inlineStr">
        <is>
          <t>VEH-MUM-001</t>
        </is>
      </c>
      <c r="D963" s="10" t="n">
        <v>14</v>
      </c>
      <c r="E963" s="10" t="inlineStr">
        <is>
          <t>ORD-MUM-002335</t>
        </is>
      </c>
      <c r="F963" s="10" t="inlineStr">
        <is>
          <t>ECOM_B2C</t>
        </is>
      </c>
      <c r="G963" s="10" t="inlineStr">
        <is>
          <t>Thane</t>
        </is>
      </c>
      <c r="H963" s="10" t="n">
        <v>1.62</v>
      </c>
      <c r="I963" s="10" t="n">
        <v>900</v>
      </c>
      <c r="J963" s="10" t="n">
        <v>1080</v>
      </c>
      <c r="K963" s="12" t="n">
        <v>902.4</v>
      </c>
      <c r="L963" s="12" t="n">
        <v>0</v>
      </c>
      <c r="M963" s="10" t="inlineStr">
        <is>
          <t>Yes</t>
        </is>
      </c>
      <c r="N963" s="11" t="n">
        <v>0</v>
      </c>
      <c r="O963" s="11" t="n">
        <v>0</v>
      </c>
      <c r="P963" s="12" t="n">
        <v>0</v>
      </c>
    </row>
    <row r="964">
      <c r="B964" s="16" t="inlineStr">
        <is>
          <t>MUM</t>
        </is>
      </c>
      <c r="C964" s="16" t="inlineStr">
        <is>
          <t>VEH-MUM-001</t>
        </is>
      </c>
      <c r="D964" s="16" t="n">
        <v>15</v>
      </c>
      <c r="E964" s="16" t="inlineStr">
        <is>
          <t>ORD-MUM-002306</t>
        </is>
      </c>
      <c r="F964" s="16" t="inlineStr">
        <is>
          <t>ECOM_B2C</t>
        </is>
      </c>
      <c r="G964" s="16" t="inlineStr">
        <is>
          <t>Thane</t>
        </is>
      </c>
      <c r="H964" s="16" t="n">
        <v>1.88</v>
      </c>
      <c r="I964" s="16" t="n">
        <v>900</v>
      </c>
      <c r="J964" s="16" t="n">
        <v>1080</v>
      </c>
      <c r="K964" s="18" t="n">
        <v>917.9</v>
      </c>
      <c r="L964" s="18" t="n">
        <v>0</v>
      </c>
      <c r="M964" s="16" t="inlineStr">
        <is>
          <t>Yes</t>
        </is>
      </c>
      <c r="N964" s="17" t="n">
        <v>3.444</v>
      </c>
      <c r="O964" s="17" t="n">
        <v>4.649</v>
      </c>
      <c r="P964" s="18" t="n">
        <v>11.6</v>
      </c>
    </row>
    <row r="965">
      <c r="B965" s="10" t="inlineStr">
        <is>
          <t>MUM</t>
        </is>
      </c>
      <c r="C965" s="10" t="inlineStr">
        <is>
          <t>VEH-MUM-001</t>
        </is>
      </c>
      <c r="D965" s="10" t="n">
        <v>16</v>
      </c>
      <c r="E965" s="10" t="inlineStr">
        <is>
          <t>ORD-MUM-002373</t>
        </is>
      </c>
      <c r="F965" s="10" t="inlineStr">
        <is>
          <t>ECOM_B2C</t>
        </is>
      </c>
      <c r="G965" s="10" t="inlineStr">
        <is>
          <t>Thane</t>
        </is>
      </c>
      <c r="H965" s="10" t="n">
        <v>1.1</v>
      </c>
      <c r="I965" s="10" t="n">
        <v>840</v>
      </c>
      <c r="J965" s="10" t="n">
        <v>960</v>
      </c>
      <c r="K965" s="12" t="n">
        <v>929.3</v>
      </c>
      <c r="L965" s="12" t="n">
        <v>0</v>
      </c>
      <c r="M965" s="10" t="inlineStr">
        <is>
          <t>Yes</t>
        </is>
      </c>
      <c r="N965" s="11" t="n">
        <v>2.184</v>
      </c>
      <c r="O965" s="11" t="n">
        <v>2.948</v>
      </c>
      <c r="P965" s="12" t="n">
        <v>7.3</v>
      </c>
    </row>
    <row r="966">
      <c r="B966" s="16" t="inlineStr">
        <is>
          <t>MUM</t>
        </is>
      </c>
      <c r="C966" s="16" t="inlineStr">
        <is>
          <t>VEH-MUM-002</t>
        </is>
      </c>
      <c r="D966" s="16" t="n">
        <v>1</v>
      </c>
      <c r="E966" s="16" t="inlineStr">
        <is>
          <t>ORD-MUM-002466</t>
        </is>
      </c>
      <c r="F966" s="16" t="inlineStr">
        <is>
          <t>MODERN_RETAIL</t>
        </is>
      </c>
      <c r="G966" s="16" t="inlineStr">
        <is>
          <t>Thane</t>
        </is>
      </c>
      <c r="H966" s="16" t="n">
        <v>66.33</v>
      </c>
      <c r="I966" s="16" t="n">
        <v>480</v>
      </c>
      <c r="J966" s="16" t="n">
        <v>720</v>
      </c>
      <c r="K966" s="18" t="n">
        <v>461.8</v>
      </c>
      <c r="L966" s="18" t="n">
        <v>0</v>
      </c>
      <c r="M966" s="16" t="inlineStr">
        <is>
          <t>Yes</t>
        </is>
      </c>
      <c r="N966" s="17" t="n">
        <v>13.691</v>
      </c>
      <c r="O966" s="17" t="n">
        <v>18.482</v>
      </c>
      <c r="P966" s="18" t="n">
        <v>41.8</v>
      </c>
    </row>
    <row r="967">
      <c r="B967" s="10" t="inlineStr">
        <is>
          <t>MUM</t>
        </is>
      </c>
      <c r="C967" s="10" t="inlineStr">
        <is>
          <t>VEH-MUM-002</t>
        </is>
      </c>
      <c r="D967" s="10" t="n">
        <v>2</v>
      </c>
      <c r="E967" s="10" t="inlineStr">
        <is>
          <t>ORD-MUM-002494</t>
        </is>
      </c>
      <c r="F967" s="10" t="inlineStr">
        <is>
          <t>MODERN_RETAIL</t>
        </is>
      </c>
      <c r="G967" s="10" t="inlineStr">
        <is>
          <t>Andheri</t>
        </is>
      </c>
      <c r="H967" s="10" t="n">
        <v>63.59</v>
      </c>
      <c r="I967" s="10" t="n">
        <v>480</v>
      </c>
      <c r="J967" s="10" t="n">
        <v>720</v>
      </c>
      <c r="K967" s="12" t="n">
        <v>564.3</v>
      </c>
      <c r="L967" s="12" t="n">
        <v>0</v>
      </c>
      <c r="M967" s="10" t="inlineStr">
        <is>
          <t>Yes</t>
        </is>
      </c>
      <c r="N967" s="11" t="n">
        <v>12.94</v>
      </c>
      <c r="O967" s="11" t="n">
        <v>17.468</v>
      </c>
      <c r="P967" s="12" t="n">
        <v>72</v>
      </c>
    </row>
    <row r="968">
      <c r="B968" s="16" t="inlineStr">
        <is>
          <t>MUM</t>
        </is>
      </c>
      <c r="C968" s="16" t="inlineStr">
        <is>
          <t>VEH-MUM-002</t>
        </is>
      </c>
      <c r="D968" s="16" t="n">
        <v>3</v>
      </c>
      <c r="E968" s="16" t="inlineStr">
        <is>
          <t>ORD-MUM-002517</t>
        </is>
      </c>
      <c r="F968" s="16" t="inlineStr">
        <is>
          <t>AUTOMOTIVE</t>
        </is>
      </c>
      <c r="G968" s="16" t="inlineStr">
        <is>
          <t>Andheri</t>
        </is>
      </c>
      <c r="H968" s="16" t="n">
        <v>69.43000000000001</v>
      </c>
      <c r="I968" s="16" t="n">
        <v>480</v>
      </c>
      <c r="J968" s="16" t="n">
        <v>600</v>
      </c>
      <c r="K968" s="18" t="n">
        <v>583.2</v>
      </c>
      <c r="L968" s="18" t="n">
        <v>0</v>
      </c>
      <c r="M968" s="16" t="inlineStr">
        <is>
          <t>Yes</t>
        </is>
      </c>
      <c r="N968" s="17" t="n">
        <v>1.194</v>
      </c>
      <c r="O968" s="17" t="n">
        <v>1.612</v>
      </c>
      <c r="P968" s="18" t="n">
        <v>6.6</v>
      </c>
    </row>
    <row r="969">
      <c r="B969" s="10" t="inlineStr">
        <is>
          <t>MUM</t>
        </is>
      </c>
      <c r="C969" s="10" t="inlineStr">
        <is>
          <t>VEH-MUM-002</t>
        </is>
      </c>
      <c r="D969" s="10" t="n">
        <v>4</v>
      </c>
      <c r="E969" s="10" t="inlineStr">
        <is>
          <t>ORD-MUM-002479</t>
        </is>
      </c>
      <c r="F969" s="10" t="inlineStr">
        <is>
          <t>MODERN_RETAIL</t>
        </is>
      </c>
      <c r="G969" s="10" t="inlineStr">
        <is>
          <t>Andheri</t>
        </is>
      </c>
      <c r="H969" s="10" t="n">
        <v>140.87</v>
      </c>
      <c r="I969" s="10" t="n">
        <v>480</v>
      </c>
      <c r="J969" s="10" t="n">
        <v>720</v>
      </c>
      <c r="K969" s="12" t="n">
        <v>611.6</v>
      </c>
      <c r="L969" s="12" t="n">
        <v>0</v>
      </c>
      <c r="M969" s="10" t="inlineStr">
        <is>
          <t>Yes</t>
        </is>
      </c>
      <c r="N969" s="11" t="n">
        <v>2.872</v>
      </c>
      <c r="O969" s="11" t="n">
        <v>3.877</v>
      </c>
      <c r="P969" s="12" t="n">
        <v>16</v>
      </c>
    </row>
    <row r="970">
      <c r="B970" s="16" t="inlineStr">
        <is>
          <t>MUM</t>
        </is>
      </c>
      <c r="C970" s="16" t="inlineStr">
        <is>
          <t>VEH-MUM-002</t>
        </is>
      </c>
      <c r="D970" s="16" t="n">
        <v>5</v>
      </c>
      <c r="E970" s="16" t="inlineStr">
        <is>
          <t>ORD-MUM-002472</t>
        </is>
      </c>
      <c r="F970" s="16" t="inlineStr">
        <is>
          <t>MODERN_RETAIL</t>
        </is>
      </c>
      <c r="G970" s="16" t="inlineStr">
        <is>
          <t>Bandra</t>
        </is>
      </c>
      <c r="H970" s="16" t="n">
        <v>129.23</v>
      </c>
      <c r="I970" s="16" t="n">
        <v>480</v>
      </c>
      <c r="J970" s="16" t="n">
        <v>720</v>
      </c>
      <c r="K970" s="18" t="n">
        <v>639.2</v>
      </c>
      <c r="L970" s="18" t="n">
        <v>0</v>
      </c>
      <c r="M970" s="16" t="inlineStr">
        <is>
          <t>Yes</t>
        </is>
      </c>
      <c r="N970" s="17" t="n">
        <v>2.281</v>
      </c>
      <c r="O970" s="17" t="n">
        <v>3.079</v>
      </c>
      <c r="P970" s="18" t="n">
        <v>12.7</v>
      </c>
    </row>
    <row r="971">
      <c r="B971" s="10" t="inlineStr">
        <is>
          <t>MUM</t>
        </is>
      </c>
      <c r="C971" s="10" t="inlineStr">
        <is>
          <t>VEH-MUM-002</t>
        </is>
      </c>
      <c r="D971" s="10" t="n">
        <v>6</v>
      </c>
      <c r="E971" s="10" t="inlineStr">
        <is>
          <t>ORD-MUM-002500</t>
        </is>
      </c>
      <c r="F971" s="10" t="inlineStr">
        <is>
          <t>AUTOMOTIVE</t>
        </is>
      </c>
      <c r="G971" s="10" t="inlineStr">
        <is>
          <t>Bandra</t>
        </is>
      </c>
      <c r="H971" s="10" t="n">
        <v>104.49</v>
      </c>
      <c r="I971" s="10" t="n">
        <v>660</v>
      </c>
      <c r="J971" s="10" t="n">
        <v>780</v>
      </c>
      <c r="K971" s="12" t="n">
        <v>657.4</v>
      </c>
      <c r="L971" s="12" t="n">
        <v>0</v>
      </c>
      <c r="M971" s="10" t="inlineStr">
        <is>
          <t>Yes</t>
        </is>
      </c>
      <c r="N971" s="11" t="n">
        <v>0.676</v>
      </c>
      <c r="O971" s="11" t="n">
        <v>0.912</v>
      </c>
      <c r="P971" s="12" t="n">
        <v>3.8</v>
      </c>
    </row>
    <row r="972">
      <c r="B972" s="16" t="inlineStr">
        <is>
          <t>MUM</t>
        </is>
      </c>
      <c r="C972" s="16" t="inlineStr">
        <is>
          <t>VEH-MUM-002</t>
        </is>
      </c>
      <c r="D972" s="16" t="n">
        <v>7</v>
      </c>
      <c r="E972" s="16" t="inlineStr">
        <is>
          <t>ORD-MUM-002470</t>
        </is>
      </c>
      <c r="F972" s="16" t="inlineStr">
        <is>
          <t>MODERN_RETAIL</t>
        </is>
      </c>
      <c r="G972" s="16" t="inlineStr">
        <is>
          <t>Bandra</t>
        </is>
      </c>
      <c r="H972" s="16" t="n">
        <v>364.45</v>
      </c>
      <c r="I972" s="16" t="n">
        <v>480</v>
      </c>
      <c r="J972" s="16" t="n">
        <v>720</v>
      </c>
      <c r="K972" s="18" t="n">
        <v>676.2</v>
      </c>
      <c r="L972" s="18" t="n">
        <v>0</v>
      </c>
      <c r="M972" s="16" t="inlineStr">
        <is>
          <t>Yes</t>
        </is>
      </c>
      <c r="N972" s="17" t="n">
        <v>0.742</v>
      </c>
      <c r="O972" s="17" t="n">
        <v>1.002</v>
      </c>
      <c r="P972" s="18" t="n">
        <v>2.5</v>
      </c>
    </row>
    <row r="973">
      <c r="B973" s="10" t="inlineStr">
        <is>
          <t>MUM</t>
        </is>
      </c>
      <c r="C973" s="10" t="inlineStr">
        <is>
          <t>VEH-MUM-002</t>
        </is>
      </c>
      <c r="D973" s="10" t="n">
        <v>8</v>
      </c>
      <c r="E973" s="10" t="inlineStr">
        <is>
          <t>ORD-MUM-002486</t>
        </is>
      </c>
      <c r="F973" s="10" t="inlineStr">
        <is>
          <t>MODERN_RETAIL</t>
        </is>
      </c>
      <c r="G973" s="10" t="inlineStr">
        <is>
          <t>Bandra</t>
        </is>
      </c>
      <c r="H973" s="10" t="n">
        <v>428.71</v>
      </c>
      <c r="I973" s="10" t="n">
        <v>480</v>
      </c>
      <c r="J973" s="10" t="n">
        <v>720</v>
      </c>
      <c r="K973" s="12" t="n">
        <v>698.9</v>
      </c>
      <c r="L973" s="12" t="n">
        <v>0</v>
      </c>
      <c r="M973" s="10" t="inlineStr">
        <is>
          <t>Yes</t>
        </is>
      </c>
      <c r="N973" s="11" t="n">
        <v>0</v>
      </c>
      <c r="O973" s="11" t="n">
        <v>0</v>
      </c>
      <c r="P973" s="12" t="n">
        <v>0</v>
      </c>
    </row>
    <row r="974">
      <c r="B974" s="16" t="inlineStr">
        <is>
          <t>MUM</t>
        </is>
      </c>
      <c r="C974" s="16" t="inlineStr">
        <is>
          <t>VEH-MUM-002</t>
        </is>
      </c>
      <c r="D974" s="16" t="n">
        <v>9</v>
      </c>
      <c r="E974" s="16" t="inlineStr">
        <is>
          <t>ORD-MUM-002473</t>
        </is>
      </c>
      <c r="F974" s="16" t="inlineStr">
        <is>
          <t>MODERN_RETAIL</t>
        </is>
      </c>
      <c r="G974" s="16" t="inlineStr">
        <is>
          <t>Bandra</t>
        </is>
      </c>
      <c r="H974" s="16" t="n">
        <v>177.07</v>
      </c>
      <c r="I974" s="16" t="n">
        <v>600</v>
      </c>
      <c r="J974" s="16" t="n">
        <v>900</v>
      </c>
      <c r="K974" s="18" t="n">
        <v>723.9</v>
      </c>
      <c r="L974" s="18" t="n">
        <v>0</v>
      </c>
      <c r="M974" s="16" t="inlineStr">
        <is>
          <t>Yes</t>
        </is>
      </c>
      <c r="N974" s="17" t="n">
        <v>0</v>
      </c>
      <c r="O974" s="17" t="n">
        <v>0</v>
      </c>
      <c r="P974" s="18" t="n">
        <v>0</v>
      </c>
    </row>
    <row r="975">
      <c r="B975" s="10" t="inlineStr">
        <is>
          <t>MUM</t>
        </is>
      </c>
      <c r="C975" s="10" t="inlineStr">
        <is>
          <t>VEH-MUM-002</t>
        </is>
      </c>
      <c r="D975" s="10" t="n">
        <v>10</v>
      </c>
      <c r="E975" s="10" t="inlineStr">
        <is>
          <t>ORD-MUM-002523</t>
        </is>
      </c>
      <c r="F975" s="10" t="inlineStr">
        <is>
          <t>AUTOMOTIVE</t>
        </is>
      </c>
      <c r="G975" s="10" t="inlineStr">
        <is>
          <t>Andheri</t>
        </is>
      </c>
      <c r="H975" s="10" t="n">
        <v>64.56</v>
      </c>
      <c r="I975" s="10" t="n">
        <v>660</v>
      </c>
      <c r="J975" s="10" t="n">
        <v>780</v>
      </c>
      <c r="K975" s="12" t="n">
        <v>765.2</v>
      </c>
      <c r="L975" s="12" t="n">
        <v>0</v>
      </c>
      <c r="M975" s="10" t="inlineStr">
        <is>
          <t>Yes</t>
        </is>
      </c>
      <c r="N975" s="11" t="n">
        <v>7.382</v>
      </c>
      <c r="O975" s="11" t="n">
        <v>9.965</v>
      </c>
      <c r="P975" s="12" t="n">
        <v>25.1</v>
      </c>
    </row>
    <row r="976">
      <c r="B976" s="16" t="inlineStr">
        <is>
          <t>MUM</t>
        </is>
      </c>
      <c r="C976" s="16" t="inlineStr">
        <is>
          <t>VEH-MUM-002</t>
        </is>
      </c>
      <c r="D976" s="16" t="n">
        <v>11</v>
      </c>
      <c r="E976" s="16" t="inlineStr">
        <is>
          <t>ORD-MUM-002408</t>
        </is>
      </c>
      <c r="F976" s="16" t="inlineStr">
        <is>
          <t>ECOM_B2C</t>
        </is>
      </c>
      <c r="G976" s="16" t="inlineStr">
        <is>
          <t>Thane</t>
        </is>
      </c>
      <c r="H976" s="16" t="n">
        <v>1.79</v>
      </c>
      <c r="I976" s="16" t="n">
        <v>720</v>
      </c>
      <c r="J976" s="16" t="n">
        <v>900</v>
      </c>
      <c r="K976" s="18" t="n">
        <v>823</v>
      </c>
      <c r="L976" s="18" t="n">
        <v>0</v>
      </c>
      <c r="M976" s="16" t="inlineStr">
        <is>
          <t>Yes</t>
        </is>
      </c>
      <c r="N976" s="17" t="n">
        <v>13.548</v>
      </c>
      <c r="O976" s="17" t="n">
        <v>18.29</v>
      </c>
      <c r="P976" s="18" t="n">
        <v>45.5</v>
      </c>
    </row>
    <row r="977">
      <c r="B977" s="10" t="inlineStr">
        <is>
          <t>MUM</t>
        </is>
      </c>
      <c r="C977" s="10" t="inlineStr">
        <is>
          <t>VEH-MUM-002</t>
        </is>
      </c>
      <c r="D977" s="10" t="n">
        <v>12</v>
      </c>
      <c r="E977" s="10" t="inlineStr">
        <is>
          <t>ORD-MUM-002249</t>
        </is>
      </c>
      <c r="F977" s="10" t="inlineStr">
        <is>
          <t>ECOM_B2C</t>
        </is>
      </c>
      <c r="G977" s="10" t="inlineStr">
        <is>
          <t>Thane</t>
        </is>
      </c>
      <c r="H977" s="10" t="n">
        <v>12.87</v>
      </c>
      <c r="I977" s="10" t="n">
        <v>720</v>
      </c>
      <c r="J977" s="10" t="n">
        <v>900</v>
      </c>
      <c r="K977" s="12" t="n">
        <v>828.4</v>
      </c>
      <c r="L977" s="12" t="n">
        <v>0</v>
      </c>
      <c r="M977" s="10" t="inlineStr">
        <is>
          <t>Yes</t>
        </is>
      </c>
      <c r="N977" s="11" t="n">
        <v>0.412</v>
      </c>
      <c r="O977" s="11" t="n">
        <v>0.556</v>
      </c>
      <c r="P977" s="12" t="n">
        <v>1.4</v>
      </c>
    </row>
    <row r="978">
      <c r="B978" s="16" t="inlineStr">
        <is>
          <t>MUM</t>
        </is>
      </c>
      <c r="C978" s="16" t="inlineStr">
        <is>
          <t>VEH-MUM-002</t>
        </is>
      </c>
      <c r="D978" s="16" t="n">
        <v>13</v>
      </c>
      <c r="E978" s="16" t="inlineStr">
        <is>
          <t>ORD-MUM-002521</t>
        </is>
      </c>
      <c r="F978" s="16" t="inlineStr">
        <is>
          <t>AUTOMOTIVE</t>
        </is>
      </c>
      <c r="G978" s="16" t="inlineStr">
        <is>
          <t>Thane</t>
        </is>
      </c>
      <c r="H978" s="16" t="n">
        <v>190.05</v>
      </c>
      <c r="I978" s="16" t="n">
        <v>840</v>
      </c>
      <c r="J978" s="16" t="n">
        <v>1080</v>
      </c>
      <c r="K978" s="18" t="n">
        <v>845.8</v>
      </c>
      <c r="L978" s="18" t="n">
        <v>0</v>
      </c>
      <c r="M978" s="16" t="inlineStr">
        <is>
          <t>Yes</t>
        </is>
      </c>
      <c r="N978" s="17" t="n">
        <v>3.985</v>
      </c>
      <c r="O978" s="17" t="n">
        <v>5.38</v>
      </c>
      <c r="P978" s="18" t="n">
        <v>13.4</v>
      </c>
    </row>
    <row r="979">
      <c r="B979" s="10" t="inlineStr">
        <is>
          <t>MUM</t>
        </is>
      </c>
      <c r="C979" s="10" t="inlineStr">
        <is>
          <t>VEH-MUM-002</t>
        </is>
      </c>
      <c r="D979" s="10" t="n">
        <v>14</v>
      </c>
      <c r="E979" s="10" t="inlineStr">
        <is>
          <t>ORD-MUM-002275</t>
        </is>
      </c>
      <c r="F979" s="10" t="inlineStr">
        <is>
          <t>ECOM_B2C</t>
        </is>
      </c>
      <c r="G979" s="10" t="inlineStr">
        <is>
          <t>Thane</t>
        </is>
      </c>
      <c r="H979" s="10" t="n">
        <v>5.99</v>
      </c>
      <c r="I979" s="10" t="n">
        <v>720</v>
      </c>
      <c r="J979" s="10" t="n">
        <v>900</v>
      </c>
      <c r="K979" s="12" t="n">
        <v>863.2</v>
      </c>
      <c r="L979" s="12" t="n">
        <v>0</v>
      </c>
      <c r="M979" s="10" t="inlineStr">
        <is>
          <t>Yes</t>
        </is>
      </c>
      <c r="N979" s="11" t="n">
        <v>0.246</v>
      </c>
      <c r="O979" s="11" t="n">
        <v>0.332</v>
      </c>
      <c r="P979" s="12" t="n">
        <v>0.8</v>
      </c>
    </row>
    <row r="980">
      <c r="B980" s="16" t="inlineStr">
        <is>
          <t>MUM</t>
        </is>
      </c>
      <c r="C980" s="16" t="inlineStr">
        <is>
          <t>VEH-MUM-003</t>
        </is>
      </c>
      <c r="D980" s="16" t="n">
        <v>1</v>
      </c>
      <c r="E980" s="16" t="inlineStr">
        <is>
          <t>ORD-MUM-002502</t>
        </is>
      </c>
      <c r="F980" s="16" t="inlineStr">
        <is>
          <t>AUTOMOTIVE</t>
        </is>
      </c>
      <c r="G980" s="16" t="inlineStr">
        <is>
          <t>Thane</t>
        </is>
      </c>
      <c r="H980" s="16" t="n">
        <v>74.81999999999999</v>
      </c>
      <c r="I980" s="16" t="n">
        <v>660</v>
      </c>
      <c r="J980" s="16" t="n">
        <v>900</v>
      </c>
      <c r="K980" s="18" t="n">
        <v>685.9</v>
      </c>
      <c r="L980" s="18" t="n">
        <v>0</v>
      </c>
      <c r="M980" s="16" t="inlineStr">
        <is>
          <t>Yes</t>
        </is>
      </c>
      <c r="N980" s="17" t="n">
        <v>12.121</v>
      </c>
      <c r="O980" s="17" t="n">
        <v>16.364</v>
      </c>
      <c r="P980" s="18" t="n">
        <v>66.59999999999999</v>
      </c>
    </row>
    <row r="981">
      <c r="B981" s="10" t="inlineStr">
        <is>
          <t>MUM</t>
        </is>
      </c>
      <c r="C981" s="10" t="inlineStr">
        <is>
          <t>VEH-MUM-003</t>
        </is>
      </c>
      <c r="D981" s="10" t="n">
        <v>2</v>
      </c>
      <c r="E981" s="10" t="inlineStr">
        <is>
          <t>ORD-MUM-002471</t>
        </is>
      </c>
      <c r="F981" s="10" t="inlineStr">
        <is>
          <t>MODERN_RETAIL</t>
        </is>
      </c>
      <c r="G981" s="10" t="inlineStr">
        <is>
          <t>Navi Mumbai</t>
        </is>
      </c>
      <c r="H981" s="10" t="n">
        <v>116.25</v>
      </c>
      <c r="I981" s="10" t="n">
        <v>600</v>
      </c>
      <c r="J981" s="10" t="n">
        <v>900</v>
      </c>
      <c r="K981" s="12" t="n">
        <v>711.3</v>
      </c>
      <c r="L981" s="12" t="n">
        <v>0</v>
      </c>
      <c r="M981" s="10" t="inlineStr">
        <is>
          <t>Yes</t>
        </is>
      </c>
      <c r="N981" s="11" t="n">
        <v>3.877</v>
      </c>
      <c r="O981" s="11" t="n">
        <v>5.234</v>
      </c>
      <c r="P981" s="12" t="n">
        <v>12.8</v>
      </c>
    </row>
    <row r="982">
      <c r="B982" s="16" t="inlineStr">
        <is>
          <t>MUM</t>
        </is>
      </c>
      <c r="C982" s="16" t="inlineStr">
        <is>
          <t>VEH-MUM-003</t>
        </is>
      </c>
      <c r="D982" s="16" t="n">
        <v>3</v>
      </c>
      <c r="E982" s="16" t="inlineStr">
        <is>
          <t>ORD-MUM-002464</t>
        </is>
      </c>
      <c r="F982" s="16" t="inlineStr">
        <is>
          <t>MODERN_RETAIL</t>
        </is>
      </c>
      <c r="G982" s="16" t="inlineStr">
        <is>
          <t>Navi Mumbai</t>
        </is>
      </c>
      <c r="H982" s="16" t="n">
        <v>128.73</v>
      </c>
      <c r="I982" s="16" t="n">
        <v>480</v>
      </c>
      <c r="J982" s="16" t="n">
        <v>720</v>
      </c>
      <c r="K982" s="18" t="n">
        <v>726.4</v>
      </c>
      <c r="L982" s="18" t="n">
        <v>6.4</v>
      </c>
      <c r="M982" s="16" t="inlineStr">
        <is>
          <t>No</t>
        </is>
      </c>
      <c r="N982" s="17" t="n">
        <v>0.297</v>
      </c>
      <c r="O982" s="17" t="n">
        <v>0.401</v>
      </c>
      <c r="P982" s="18" t="n">
        <v>1</v>
      </c>
    </row>
    <row r="983">
      <c r="B983" s="10" t="inlineStr">
        <is>
          <t>MUM</t>
        </is>
      </c>
      <c r="C983" s="10" t="inlineStr">
        <is>
          <t>VEH-MUM-003</t>
        </is>
      </c>
      <c r="D983" s="10" t="n">
        <v>4</v>
      </c>
      <c r="E983" s="10" t="inlineStr">
        <is>
          <t>ORD-MUM-002463</t>
        </is>
      </c>
      <c r="F983" s="10" t="inlineStr">
        <is>
          <t>MODERN_RETAIL</t>
        </is>
      </c>
      <c r="G983" s="10" t="inlineStr">
        <is>
          <t>Navi Mumbai</t>
        </is>
      </c>
      <c r="H983" s="10" t="n">
        <v>144.13</v>
      </c>
      <c r="I983" s="10" t="n">
        <v>480</v>
      </c>
      <c r="J983" s="10" t="n">
        <v>720</v>
      </c>
      <c r="K983" s="12" t="n">
        <v>742.9</v>
      </c>
      <c r="L983" s="12" t="n">
        <v>22.9</v>
      </c>
      <c r="M983" s="10" t="inlineStr">
        <is>
          <t>No</t>
        </is>
      </c>
      <c r="N983" s="11" t="n">
        <v>0.596</v>
      </c>
      <c r="O983" s="11" t="n">
        <v>0.805</v>
      </c>
      <c r="P983" s="12" t="n">
        <v>2</v>
      </c>
    </row>
    <row r="984">
      <c r="B984" s="16" t="inlineStr">
        <is>
          <t>MUM</t>
        </is>
      </c>
      <c r="C984" s="16" t="inlineStr">
        <is>
          <t>VEH-MUM-003</t>
        </is>
      </c>
      <c r="D984" s="16" t="n">
        <v>5</v>
      </c>
      <c r="E984" s="16" t="inlineStr">
        <is>
          <t>ORD-MUM-002507</t>
        </is>
      </c>
      <c r="F984" s="16" t="inlineStr">
        <is>
          <t>AUTOMOTIVE</t>
        </is>
      </c>
      <c r="G984" s="16" t="inlineStr">
        <is>
          <t>Navi Mumbai</t>
        </is>
      </c>
      <c r="H984" s="16" t="n">
        <v>155.95</v>
      </c>
      <c r="I984" s="16" t="n">
        <v>660</v>
      </c>
      <c r="J984" s="16" t="n">
        <v>780</v>
      </c>
      <c r="K984" s="18" t="n">
        <v>759.5</v>
      </c>
      <c r="L984" s="18" t="n">
        <v>0</v>
      </c>
      <c r="M984" s="16" t="inlineStr">
        <is>
          <t>Yes</t>
        </is>
      </c>
      <c r="N984" s="17" t="n">
        <v>0.468</v>
      </c>
      <c r="O984" s="17" t="n">
        <v>0.632</v>
      </c>
      <c r="P984" s="18" t="n">
        <v>1.5</v>
      </c>
    </row>
    <row r="985">
      <c r="B985" s="10" t="inlineStr">
        <is>
          <t>MUM</t>
        </is>
      </c>
      <c r="C985" s="10" t="inlineStr">
        <is>
          <t>VEH-MUM-003</t>
        </is>
      </c>
      <c r="D985" s="10" t="n">
        <v>6</v>
      </c>
      <c r="E985" s="10" t="inlineStr">
        <is>
          <t>ORD-MUM-002518</t>
        </is>
      </c>
      <c r="F985" s="10" t="inlineStr">
        <is>
          <t>AUTOMOTIVE</t>
        </is>
      </c>
      <c r="G985" s="10" t="inlineStr">
        <is>
          <t>Bandra</t>
        </is>
      </c>
      <c r="H985" s="10" t="n">
        <v>129.92</v>
      </c>
      <c r="I985" s="10" t="n">
        <v>660</v>
      </c>
      <c r="J985" s="10" t="n">
        <v>900</v>
      </c>
      <c r="K985" s="12" t="n">
        <v>838.9</v>
      </c>
      <c r="L985" s="12" t="n">
        <v>0</v>
      </c>
      <c r="M985" s="10" t="inlineStr">
        <is>
          <t>Yes</t>
        </is>
      </c>
      <c r="N985" s="11" t="n">
        <v>18.849</v>
      </c>
      <c r="O985" s="11" t="n">
        <v>25.446</v>
      </c>
      <c r="P985" s="12" t="n">
        <v>64</v>
      </c>
    </row>
    <row r="986">
      <c r="B986" s="16" t="inlineStr">
        <is>
          <t>MUM</t>
        </is>
      </c>
      <c r="C986" s="16" t="inlineStr">
        <is>
          <t>VEH-MUM-003</t>
        </is>
      </c>
      <c r="D986" s="16" t="n">
        <v>7</v>
      </c>
      <c r="E986" s="16" t="inlineStr">
        <is>
          <t>ORD-MUM-002503</t>
        </is>
      </c>
      <c r="F986" s="16" t="inlineStr">
        <is>
          <t>AUTOMOTIVE</t>
        </is>
      </c>
      <c r="G986" s="16" t="inlineStr">
        <is>
          <t>Bandra</t>
        </is>
      </c>
      <c r="H986" s="16" t="n">
        <v>16.8</v>
      </c>
      <c r="I986" s="16" t="n">
        <v>660</v>
      </c>
      <c r="J986" s="16" t="n">
        <v>900</v>
      </c>
      <c r="K986" s="18" t="n">
        <v>853.5</v>
      </c>
      <c r="L986" s="18" t="n">
        <v>0</v>
      </c>
      <c r="M986" s="16" t="inlineStr">
        <is>
          <t>Yes</t>
        </is>
      </c>
      <c r="N986" s="17" t="n">
        <v>0</v>
      </c>
      <c r="O986" s="17" t="n">
        <v>0</v>
      </c>
      <c r="P986" s="18" t="n">
        <v>0</v>
      </c>
    </row>
    <row r="987">
      <c r="B987" s="10" t="inlineStr">
        <is>
          <t>MUM</t>
        </is>
      </c>
      <c r="C987" s="10" t="inlineStr">
        <is>
          <t>VEH-MUM-003</t>
        </is>
      </c>
      <c r="D987" s="10" t="n">
        <v>8</v>
      </c>
      <c r="E987" s="10" t="inlineStr">
        <is>
          <t>ORD-MUM-002501</t>
        </is>
      </c>
      <c r="F987" s="10" t="inlineStr">
        <is>
          <t>AUTOMOTIVE</t>
        </is>
      </c>
      <c r="G987" s="10" t="inlineStr">
        <is>
          <t>Bandra</t>
        </is>
      </c>
      <c r="H987" s="10" t="n">
        <v>36.93</v>
      </c>
      <c r="I987" s="10" t="n">
        <v>840</v>
      </c>
      <c r="J987" s="10" t="n">
        <v>1080</v>
      </c>
      <c r="K987" s="12" t="n">
        <v>864</v>
      </c>
      <c r="L987" s="12" t="n">
        <v>0</v>
      </c>
      <c r="M987" s="10" t="inlineStr">
        <is>
          <t>Yes</t>
        </is>
      </c>
      <c r="N987" s="11" t="n">
        <v>0</v>
      </c>
      <c r="O987" s="11" t="n">
        <v>0</v>
      </c>
      <c r="P987" s="12" t="n">
        <v>0</v>
      </c>
    </row>
    <row r="988">
      <c r="B988" s="16" t="inlineStr">
        <is>
          <t>MUM</t>
        </is>
      </c>
      <c r="C988" s="16" t="inlineStr">
        <is>
          <t>VEH-MUM-003</t>
        </is>
      </c>
      <c r="D988" s="16" t="n">
        <v>9</v>
      </c>
      <c r="E988" s="16" t="inlineStr">
        <is>
          <t>ORD-MUM-002499</t>
        </is>
      </c>
      <c r="F988" s="16" t="inlineStr">
        <is>
          <t>MODERN_RETAIL</t>
        </is>
      </c>
      <c r="G988" s="16" t="inlineStr">
        <is>
          <t>Bandra</t>
        </is>
      </c>
      <c r="H988" s="16" t="n">
        <v>500.78</v>
      </c>
      <c r="I988" s="16" t="n">
        <v>600</v>
      </c>
      <c r="J988" s="16" t="n">
        <v>900</v>
      </c>
      <c r="K988" s="18" t="n">
        <v>876.7</v>
      </c>
      <c r="L988" s="18" t="n">
        <v>0</v>
      </c>
      <c r="M988" s="16" t="inlineStr">
        <is>
          <t>Yes</t>
        </is>
      </c>
      <c r="N988" s="17" t="n">
        <v>0.39</v>
      </c>
      <c r="O988" s="17" t="n">
        <v>0.526</v>
      </c>
      <c r="P988" s="18" t="n">
        <v>1.3</v>
      </c>
    </row>
    <row r="989">
      <c r="B989" s="10" t="inlineStr">
        <is>
          <t>MUM</t>
        </is>
      </c>
      <c r="C989" s="10" t="inlineStr">
        <is>
          <t>VEH-MUM-003</t>
        </is>
      </c>
      <c r="D989" s="10" t="n">
        <v>10</v>
      </c>
      <c r="E989" s="10" t="inlineStr">
        <is>
          <t>ORD-MUM-002478</t>
        </is>
      </c>
      <c r="F989" s="10" t="inlineStr">
        <is>
          <t>MODERN_RETAIL</t>
        </is>
      </c>
      <c r="G989" s="10" t="inlineStr">
        <is>
          <t>Andheri</t>
        </is>
      </c>
      <c r="H989" s="10" t="n">
        <v>151.3</v>
      </c>
      <c r="I989" s="10" t="n">
        <v>840</v>
      </c>
      <c r="J989" s="10" t="n">
        <v>1080</v>
      </c>
      <c r="K989" s="12" t="n">
        <v>912.8</v>
      </c>
      <c r="L989" s="12" t="n">
        <v>0</v>
      </c>
      <c r="M989" s="10" t="inlineStr">
        <is>
          <t>Yes</t>
        </is>
      </c>
      <c r="N989" s="11" t="n">
        <v>2.522</v>
      </c>
      <c r="O989" s="11" t="n">
        <v>3.404</v>
      </c>
      <c r="P989" s="12" t="n">
        <v>8.6</v>
      </c>
    </row>
    <row r="990">
      <c r="B990" s="16" t="inlineStr">
        <is>
          <t>MUM</t>
        </is>
      </c>
      <c r="C990" s="16" t="inlineStr">
        <is>
          <t>VEH-MUM-003</t>
        </is>
      </c>
      <c r="D990" s="16" t="n">
        <v>11</v>
      </c>
      <c r="E990" s="16" t="inlineStr">
        <is>
          <t>ORD-MUM-002484</t>
        </is>
      </c>
      <c r="F990" s="16" t="inlineStr">
        <is>
          <t>MODERN_RETAIL</t>
        </is>
      </c>
      <c r="G990" s="16" t="inlineStr">
        <is>
          <t>Andheri</t>
        </is>
      </c>
      <c r="H990" s="16" t="n">
        <v>125.76</v>
      </c>
      <c r="I990" s="16" t="n">
        <v>840</v>
      </c>
      <c r="J990" s="16" t="n">
        <v>1080</v>
      </c>
      <c r="K990" s="18" t="n">
        <v>932.6</v>
      </c>
      <c r="L990" s="18" t="n">
        <v>0</v>
      </c>
      <c r="M990" s="16" t="inlineStr">
        <is>
          <t>Yes</t>
        </is>
      </c>
      <c r="N990" s="17" t="n">
        <v>1.342</v>
      </c>
      <c r="O990" s="17" t="n">
        <v>1.812</v>
      </c>
      <c r="P990" s="18" t="n">
        <v>4.6</v>
      </c>
    </row>
    <row r="991">
      <c r="B991" s="10" t="inlineStr">
        <is>
          <t>MUM</t>
        </is>
      </c>
      <c r="C991" s="10" t="inlineStr">
        <is>
          <t>VEH-MUM-003</t>
        </is>
      </c>
      <c r="D991" s="10" t="n">
        <v>12</v>
      </c>
      <c r="E991" s="10" t="inlineStr">
        <is>
          <t>ORD-MUM-002467</t>
        </is>
      </c>
      <c r="F991" s="10" t="inlineStr">
        <is>
          <t>MODERN_RETAIL</t>
        </is>
      </c>
      <c r="G991" s="10" t="inlineStr">
        <is>
          <t>Andheri</t>
        </is>
      </c>
      <c r="H991" s="10" t="n">
        <v>252.77</v>
      </c>
      <c r="I991" s="10" t="n">
        <v>840</v>
      </c>
      <c r="J991" s="10" t="n">
        <v>1080</v>
      </c>
      <c r="K991" s="12" t="n">
        <v>954.3</v>
      </c>
      <c r="L991" s="12" t="n">
        <v>0</v>
      </c>
      <c r="M991" s="10" t="inlineStr">
        <is>
          <t>Yes</t>
        </is>
      </c>
      <c r="N991" s="11" t="n">
        <v>2.131</v>
      </c>
      <c r="O991" s="11" t="n">
        <v>2.877</v>
      </c>
      <c r="P991" s="12" t="n">
        <v>7.2</v>
      </c>
    </row>
    <row r="992">
      <c r="B992" s="16" t="inlineStr">
        <is>
          <t>MUM</t>
        </is>
      </c>
      <c r="C992" s="16" t="inlineStr">
        <is>
          <t>VEH-MUM-003</t>
        </is>
      </c>
      <c r="D992" s="16" t="n">
        <v>13</v>
      </c>
      <c r="E992" s="16" t="inlineStr">
        <is>
          <t>ORD-MUM-002301</t>
        </is>
      </c>
      <c r="F992" s="16" t="inlineStr">
        <is>
          <t>ECOM_B2C</t>
        </is>
      </c>
      <c r="G992" s="16" t="inlineStr">
        <is>
          <t>Thane</t>
        </is>
      </c>
      <c r="H992" s="16" t="n">
        <v>2.39</v>
      </c>
      <c r="I992" s="16" t="n">
        <v>900</v>
      </c>
      <c r="J992" s="16" t="n">
        <v>1080</v>
      </c>
      <c r="K992" s="18" t="n">
        <v>1020.9</v>
      </c>
      <c r="L992" s="18" t="n">
        <v>0</v>
      </c>
      <c r="M992" s="16" t="inlineStr">
        <is>
          <t>Yes</t>
        </is>
      </c>
      <c r="N992" s="17" t="n">
        <v>14.241</v>
      </c>
      <c r="O992" s="17" t="n">
        <v>19.225</v>
      </c>
      <c r="P992" s="18" t="n">
        <v>47.8</v>
      </c>
    </row>
    <row r="993">
      <c r="B993" s="10" t="inlineStr">
        <is>
          <t>MUM</t>
        </is>
      </c>
      <c r="C993" s="10" t="inlineStr">
        <is>
          <t>VEH-MUM-003</t>
        </is>
      </c>
      <c r="D993" s="10" t="n">
        <v>14</v>
      </c>
      <c r="E993" s="10" t="inlineStr">
        <is>
          <t>ORD-MUM-002247</t>
        </is>
      </c>
      <c r="F993" s="10" t="inlineStr">
        <is>
          <t>ECOM_B2C</t>
        </is>
      </c>
      <c r="G993" s="10" t="inlineStr">
        <is>
          <t>Thane</t>
        </is>
      </c>
      <c r="H993" s="10" t="n">
        <v>3.63</v>
      </c>
      <c r="I993" s="10" t="n">
        <v>900</v>
      </c>
      <c r="J993" s="10" t="n">
        <v>1080</v>
      </c>
      <c r="K993" s="12" t="n">
        <v>1042.7</v>
      </c>
      <c r="L993" s="12" t="n">
        <v>0</v>
      </c>
      <c r="M993" s="10" t="inlineStr">
        <is>
          <t>Yes</t>
        </is>
      </c>
      <c r="N993" s="11" t="n">
        <v>2.651</v>
      </c>
      <c r="O993" s="11" t="n">
        <v>3.579</v>
      </c>
      <c r="P993" s="12" t="n">
        <v>17.8</v>
      </c>
    </row>
    <row r="994">
      <c r="B994" s="16" t="inlineStr">
        <is>
          <t>MUM</t>
        </is>
      </c>
      <c r="C994" s="16" t="inlineStr">
        <is>
          <t>VEH-MUM-003</t>
        </is>
      </c>
      <c r="D994" s="16" t="n">
        <v>15</v>
      </c>
      <c r="E994" s="16" t="inlineStr">
        <is>
          <t>ORD-MUM-002348</t>
        </is>
      </c>
      <c r="F994" s="16" t="inlineStr">
        <is>
          <t>ECOM_B2C</t>
        </is>
      </c>
      <c r="G994" s="16" t="inlineStr">
        <is>
          <t>Thane</t>
        </is>
      </c>
      <c r="H994" s="16" t="n">
        <v>4.73</v>
      </c>
      <c r="I994" s="16" t="n">
        <v>900</v>
      </c>
      <c r="J994" s="16" t="n">
        <v>1080</v>
      </c>
      <c r="K994" s="18" t="n">
        <v>1046.7</v>
      </c>
      <c r="L994" s="18" t="n">
        <v>0</v>
      </c>
      <c r="M994" s="16" t="inlineStr">
        <is>
          <t>Yes</t>
        </is>
      </c>
      <c r="N994" s="17" t="n">
        <v>0</v>
      </c>
      <c r="O994" s="17" t="n">
        <v>0</v>
      </c>
      <c r="P994" s="18" t="n">
        <v>0</v>
      </c>
    </row>
    <row r="995">
      <c r="B995" s="10" t="inlineStr">
        <is>
          <t>MUM</t>
        </is>
      </c>
      <c r="C995" s="10" t="inlineStr">
        <is>
          <t>VEH-MUM-003</t>
        </is>
      </c>
      <c r="D995" s="10" t="n">
        <v>16</v>
      </c>
      <c r="E995" s="10" t="inlineStr">
        <is>
          <t>ORD-MUM-002316</t>
        </is>
      </c>
      <c r="F995" s="10" t="inlineStr">
        <is>
          <t>ECOM_B2C</t>
        </is>
      </c>
      <c r="G995" s="10" t="inlineStr">
        <is>
          <t>Thane</t>
        </is>
      </c>
      <c r="H995" s="10" t="n">
        <v>3.44</v>
      </c>
      <c r="I995" s="10" t="n">
        <v>900</v>
      </c>
      <c r="J995" s="10" t="n">
        <v>1080</v>
      </c>
      <c r="K995" s="12" t="n">
        <v>1060.1</v>
      </c>
      <c r="L995" s="12" t="n">
        <v>0</v>
      </c>
      <c r="M995" s="10" t="inlineStr">
        <is>
          <t>Yes</t>
        </is>
      </c>
      <c r="N995" s="11" t="n">
        <v>1.393</v>
      </c>
      <c r="O995" s="11" t="n">
        <v>1.881</v>
      </c>
      <c r="P995" s="12" t="n">
        <v>9.4</v>
      </c>
    </row>
    <row r="996">
      <c r="B996" s="16" t="inlineStr">
        <is>
          <t>MUM</t>
        </is>
      </c>
      <c r="C996" s="16" t="inlineStr">
        <is>
          <t>VEH-MUM-007</t>
        </is>
      </c>
      <c r="D996" s="16" t="n">
        <v>1</v>
      </c>
      <c r="E996" s="16" t="inlineStr">
        <is>
          <t>ORD-MUM-002270</t>
        </is>
      </c>
      <c r="F996" s="16" t="inlineStr">
        <is>
          <t>ECOM_B2C</t>
        </is>
      </c>
      <c r="G996" s="16" t="inlineStr">
        <is>
          <t>Thane</t>
        </is>
      </c>
      <c r="H996" s="16" t="n">
        <v>9.800000000000001</v>
      </c>
      <c r="I996" s="16" t="n">
        <v>540</v>
      </c>
      <c r="J996" s="16" t="n">
        <v>720</v>
      </c>
      <c r="K996" s="18" t="n">
        <v>540</v>
      </c>
      <c r="L996" s="18" t="n">
        <v>0</v>
      </c>
      <c r="M996" s="16" t="inlineStr">
        <is>
          <t>Yes</t>
        </is>
      </c>
      <c r="N996" s="17" t="n">
        <v>10.925</v>
      </c>
      <c r="O996" s="17" t="n">
        <v>14.748</v>
      </c>
      <c r="P996" s="18" t="n">
        <v>55.7</v>
      </c>
    </row>
    <row r="997">
      <c r="B997" s="10" t="inlineStr">
        <is>
          <t>MUM</t>
        </is>
      </c>
      <c r="C997" s="10" t="inlineStr">
        <is>
          <t>VEH-MUM-007</t>
        </is>
      </c>
      <c r="D997" s="10" t="n">
        <v>2</v>
      </c>
      <c r="E997" s="10" t="inlineStr">
        <is>
          <t>ORD-MUM-002294</t>
        </is>
      </c>
      <c r="F997" s="10" t="inlineStr">
        <is>
          <t>ECOM_B2C</t>
        </is>
      </c>
      <c r="G997" s="10" t="inlineStr">
        <is>
          <t>Thane</t>
        </is>
      </c>
      <c r="H997" s="10" t="n">
        <v>0.38</v>
      </c>
      <c r="I997" s="10" t="n">
        <v>540</v>
      </c>
      <c r="J997" s="10" t="n">
        <v>720</v>
      </c>
      <c r="K997" s="12" t="n">
        <v>549.1</v>
      </c>
      <c r="L997" s="12" t="n">
        <v>0</v>
      </c>
      <c r="M997" s="10" t="inlineStr">
        <is>
          <t>Yes</t>
        </is>
      </c>
      <c r="N997" s="11" t="n">
        <v>1.003</v>
      </c>
      <c r="O997" s="11" t="n">
        <v>1.354</v>
      </c>
      <c r="P997" s="12" t="n">
        <v>5.1</v>
      </c>
    </row>
    <row r="998">
      <c r="B998" s="16" t="inlineStr">
        <is>
          <t>MUM</t>
        </is>
      </c>
      <c r="C998" s="16" t="inlineStr">
        <is>
          <t>VEH-MUM-007</t>
        </is>
      </c>
      <c r="D998" s="16" t="n">
        <v>3</v>
      </c>
      <c r="E998" s="16" t="inlineStr">
        <is>
          <t>ORD-MUM-002515</t>
        </is>
      </c>
      <c r="F998" s="16" t="inlineStr">
        <is>
          <t>AUTOMOTIVE</t>
        </is>
      </c>
      <c r="G998" s="16" t="inlineStr">
        <is>
          <t>Navi Mumbai</t>
        </is>
      </c>
      <c r="H998" s="16" t="n">
        <v>41.66</v>
      </c>
      <c r="I998" s="16" t="n">
        <v>480</v>
      </c>
      <c r="J998" s="16" t="n">
        <v>600</v>
      </c>
      <c r="K998" s="18" t="n">
        <v>576.2</v>
      </c>
      <c r="L998" s="18" t="n">
        <v>0</v>
      </c>
      <c r="M998" s="16" t="inlineStr">
        <is>
          <t>Yes</t>
        </is>
      </c>
      <c r="N998" s="17" t="n">
        <v>4.589</v>
      </c>
      <c r="O998" s="17" t="n">
        <v>6.196</v>
      </c>
      <c r="P998" s="18" t="n">
        <v>23</v>
      </c>
    </row>
    <row r="999">
      <c r="B999" s="10" t="inlineStr">
        <is>
          <t>MUM</t>
        </is>
      </c>
      <c r="C999" s="10" t="inlineStr">
        <is>
          <t>VEH-MUM-007</t>
        </is>
      </c>
      <c r="D999" s="10" t="n">
        <v>4</v>
      </c>
      <c r="E999" s="10" t="inlineStr">
        <is>
          <t>ORD-MUM-002520</t>
        </is>
      </c>
      <c r="F999" s="10" t="inlineStr">
        <is>
          <t>AUTOMOTIVE</t>
        </is>
      </c>
      <c r="G999" s="10" t="inlineStr">
        <is>
          <t>Navi Mumbai</t>
        </is>
      </c>
      <c r="H999" s="10" t="n">
        <v>122.94</v>
      </c>
      <c r="I999" s="10" t="n">
        <v>660</v>
      </c>
      <c r="J999" s="10" t="n">
        <v>900</v>
      </c>
      <c r="K999" s="12" t="n">
        <v>661.3</v>
      </c>
      <c r="L999" s="12" t="n">
        <v>0</v>
      </c>
      <c r="M999" s="10" t="inlineStr">
        <is>
          <t>Yes</t>
        </is>
      </c>
      <c r="N999" s="11" t="n">
        <v>14.679</v>
      </c>
      <c r="O999" s="11" t="n">
        <v>19.816</v>
      </c>
      <c r="P999" s="12" t="n">
        <v>73.7</v>
      </c>
    </row>
    <row r="1000">
      <c r="B1000" s="16" t="inlineStr">
        <is>
          <t>MUM</t>
        </is>
      </c>
      <c r="C1000" s="16" t="inlineStr">
        <is>
          <t>VEH-MUM-007</t>
        </is>
      </c>
      <c r="D1000" s="16" t="n">
        <v>5</v>
      </c>
      <c r="E1000" s="16" t="inlineStr">
        <is>
          <t>ORD-MUM-002510</t>
        </is>
      </c>
      <c r="F1000" s="16" t="inlineStr">
        <is>
          <t>AUTOMOTIVE</t>
        </is>
      </c>
      <c r="G1000" s="16" t="inlineStr">
        <is>
          <t>Navi Mumbai</t>
        </is>
      </c>
      <c r="H1000" s="16" t="n">
        <v>68.95999999999999</v>
      </c>
      <c r="I1000" s="16" t="n">
        <v>480</v>
      </c>
      <c r="J1000" s="16" t="n">
        <v>720</v>
      </c>
      <c r="K1000" s="18" t="n">
        <v>676.5</v>
      </c>
      <c r="L1000" s="18" t="n">
        <v>0</v>
      </c>
      <c r="M1000" s="16" t="inlineStr">
        <is>
          <t>Yes</t>
        </is>
      </c>
      <c r="N1000" s="17" t="n">
        <v>0.268</v>
      </c>
      <c r="O1000" s="17" t="n">
        <v>0.361</v>
      </c>
      <c r="P1000" s="18" t="n">
        <v>0.8</v>
      </c>
    </row>
    <row r="1001">
      <c r="B1001" s="10" t="inlineStr">
        <is>
          <t>MUM</t>
        </is>
      </c>
      <c r="C1001" s="10" t="inlineStr">
        <is>
          <t>VEH-MUM-007</t>
        </is>
      </c>
      <c r="D1001" s="10" t="n">
        <v>6</v>
      </c>
      <c r="E1001" s="10" t="inlineStr">
        <is>
          <t>ORD-MUM-002476</t>
        </is>
      </c>
      <c r="F1001" s="10" t="inlineStr">
        <is>
          <t>MODERN_RETAIL</t>
        </is>
      </c>
      <c r="G1001" s="10" t="inlineStr">
        <is>
          <t>Navi Mumbai</t>
        </is>
      </c>
      <c r="H1001" s="10" t="n">
        <v>84.62</v>
      </c>
      <c r="I1001" s="10" t="n">
        <v>480</v>
      </c>
      <c r="J1001" s="10" t="n">
        <v>720</v>
      </c>
      <c r="K1001" s="12" t="n">
        <v>690.9</v>
      </c>
      <c r="L1001" s="12" t="n">
        <v>0</v>
      </c>
      <c r="M1001" s="10" t="inlineStr">
        <is>
          <t>Yes</t>
        </is>
      </c>
      <c r="N1001" s="11" t="n">
        <v>0.654</v>
      </c>
      <c r="O1001" s="11" t="n">
        <v>0.883</v>
      </c>
      <c r="P1001" s="12" t="n">
        <v>2</v>
      </c>
    </row>
    <row r="1002">
      <c r="B1002" s="16" t="inlineStr">
        <is>
          <t>MUM</t>
        </is>
      </c>
      <c r="C1002" s="16" t="inlineStr">
        <is>
          <t>VEH-MUM-007</t>
        </is>
      </c>
      <c r="D1002" s="16" t="n">
        <v>7</v>
      </c>
      <c r="E1002" s="16" t="inlineStr">
        <is>
          <t>ORD-MUM-002506</t>
        </is>
      </c>
      <c r="F1002" s="16" t="inlineStr">
        <is>
          <t>AUTOMOTIVE</t>
        </is>
      </c>
      <c r="G1002" s="16" t="inlineStr">
        <is>
          <t>Navi Mumbai</t>
        </is>
      </c>
      <c r="H1002" s="16" t="n">
        <v>46.08</v>
      </c>
      <c r="I1002" s="16" t="n">
        <v>480</v>
      </c>
      <c r="J1002" s="16" t="n">
        <v>720</v>
      </c>
      <c r="K1002" s="18" t="n">
        <v>711</v>
      </c>
      <c r="L1002" s="18" t="n">
        <v>0</v>
      </c>
      <c r="M1002" s="16" t="inlineStr">
        <is>
          <t>Yes</t>
        </is>
      </c>
      <c r="N1002" s="17" t="n">
        <v>2.335</v>
      </c>
      <c r="O1002" s="17" t="n">
        <v>3.152</v>
      </c>
      <c r="P1002" s="18" t="n">
        <v>7.2</v>
      </c>
    </row>
    <row r="1003">
      <c r="B1003" s="10" t="inlineStr">
        <is>
          <t>MUM</t>
        </is>
      </c>
      <c r="C1003" s="10" t="inlineStr">
        <is>
          <t>VEH-MUM-007</t>
        </is>
      </c>
      <c r="D1003" s="10" t="n">
        <v>8</v>
      </c>
      <c r="E1003" s="10" t="inlineStr">
        <is>
          <t>ORD-MUM-002524</t>
        </is>
      </c>
      <c r="F1003" s="10" t="inlineStr">
        <is>
          <t>AUTOMOTIVE</t>
        </is>
      </c>
      <c r="G1003" s="10" t="inlineStr">
        <is>
          <t>Navi Mumbai</t>
        </is>
      </c>
      <c r="H1003" s="10" t="n">
        <v>108.04</v>
      </c>
      <c r="I1003" s="10" t="n">
        <v>660</v>
      </c>
      <c r="J1003" s="10" t="n">
        <v>900</v>
      </c>
      <c r="K1003" s="12" t="n">
        <v>722.6</v>
      </c>
      <c r="L1003" s="12" t="n">
        <v>0</v>
      </c>
      <c r="M1003" s="10" t="inlineStr">
        <is>
          <t>Yes</t>
        </is>
      </c>
      <c r="N1003" s="11" t="n">
        <v>0</v>
      </c>
      <c r="O1003" s="11" t="n">
        <v>0</v>
      </c>
      <c r="P1003" s="12" t="n">
        <v>0</v>
      </c>
    </row>
    <row r="1004">
      <c r="B1004" s="16" t="inlineStr">
        <is>
          <t>MUM</t>
        </is>
      </c>
      <c r="C1004" s="16" t="inlineStr">
        <is>
          <t>VEH-MUM-007</t>
        </is>
      </c>
      <c r="D1004" s="16" t="n">
        <v>9</v>
      </c>
      <c r="E1004" s="16" t="inlineStr">
        <is>
          <t>ORD-MUM-002512</t>
        </is>
      </c>
      <c r="F1004" s="16" t="inlineStr">
        <is>
          <t>AUTOMOTIVE</t>
        </is>
      </c>
      <c r="G1004" s="16" t="inlineStr">
        <is>
          <t>Navi Mumbai</t>
        </is>
      </c>
      <c r="H1004" s="16" t="n">
        <v>98.59</v>
      </c>
      <c r="I1004" s="16" t="n">
        <v>660</v>
      </c>
      <c r="J1004" s="16" t="n">
        <v>900</v>
      </c>
      <c r="K1004" s="18" t="n">
        <v>742.3</v>
      </c>
      <c r="L1004" s="18" t="n">
        <v>0</v>
      </c>
      <c r="M1004" s="16" t="inlineStr">
        <is>
          <t>Yes</t>
        </is>
      </c>
      <c r="N1004" s="17" t="n">
        <v>1.939</v>
      </c>
      <c r="O1004" s="17" t="n">
        <v>2.617</v>
      </c>
      <c r="P1004" s="18" t="n">
        <v>5.9</v>
      </c>
    </row>
    <row r="1005">
      <c r="B1005" s="10" t="inlineStr">
        <is>
          <t>MUM</t>
        </is>
      </c>
      <c r="C1005" s="10" t="inlineStr">
        <is>
          <t>VEH-MUM-007</t>
        </is>
      </c>
      <c r="D1005" s="10" t="n">
        <v>10</v>
      </c>
      <c r="E1005" s="10" t="inlineStr">
        <is>
          <t>ORD-MUM-002505</t>
        </is>
      </c>
      <c r="F1005" s="10" t="inlineStr">
        <is>
          <t>AUTOMOTIVE</t>
        </is>
      </c>
      <c r="G1005" s="10" t="inlineStr">
        <is>
          <t>Navi Mumbai</t>
        </is>
      </c>
      <c r="H1005" s="10" t="n">
        <v>57.49</v>
      </c>
      <c r="I1005" s="10" t="n">
        <v>660</v>
      </c>
      <c r="J1005" s="10" t="n">
        <v>780</v>
      </c>
      <c r="K1005" s="12" t="n">
        <v>755.8</v>
      </c>
      <c r="L1005" s="12" t="n">
        <v>0</v>
      </c>
      <c r="M1005" s="10" t="inlineStr">
        <is>
          <t>Yes</t>
        </is>
      </c>
      <c r="N1005" s="11" t="n">
        <v>0</v>
      </c>
      <c r="O1005" s="11" t="n">
        <v>0</v>
      </c>
      <c r="P1005" s="12" t="n">
        <v>0</v>
      </c>
    </row>
    <row r="1006">
      <c r="B1006" s="16" t="inlineStr">
        <is>
          <t>MUM</t>
        </is>
      </c>
      <c r="C1006" s="16" t="inlineStr">
        <is>
          <t>VEH-MUM-007</t>
        </is>
      </c>
      <c r="D1006" s="16" t="n">
        <v>11</v>
      </c>
      <c r="E1006" s="16" t="inlineStr">
        <is>
          <t>ORD-MUM-002468</t>
        </is>
      </c>
      <c r="F1006" s="16" t="inlineStr">
        <is>
          <t>MODERN_RETAIL</t>
        </is>
      </c>
      <c r="G1006" s="16" t="inlineStr">
        <is>
          <t>Navi Mumbai</t>
        </is>
      </c>
      <c r="H1006" s="16" t="n">
        <v>85.76000000000001</v>
      </c>
      <c r="I1006" s="16" t="n">
        <v>600</v>
      </c>
      <c r="J1006" s="16" t="n">
        <v>900</v>
      </c>
      <c r="K1006" s="18" t="n">
        <v>786.3</v>
      </c>
      <c r="L1006" s="18" t="n">
        <v>0</v>
      </c>
      <c r="M1006" s="16" t="inlineStr">
        <is>
          <t>Yes</t>
        </is>
      </c>
      <c r="N1006" s="17" t="n">
        <v>6.02</v>
      </c>
      <c r="O1006" s="17" t="n">
        <v>8.128</v>
      </c>
      <c r="P1006" s="18" t="n">
        <v>18.5</v>
      </c>
    </row>
    <row r="1007">
      <c r="B1007" s="10" t="inlineStr">
        <is>
          <t>MUM</t>
        </is>
      </c>
      <c r="C1007" s="10" t="inlineStr">
        <is>
          <t>VEH-MUM-007</t>
        </is>
      </c>
      <c r="D1007" s="10" t="n">
        <v>12</v>
      </c>
      <c r="E1007" s="10" t="inlineStr">
        <is>
          <t>ORD-MUM-002497</t>
        </is>
      </c>
      <c r="F1007" s="10" t="inlineStr">
        <is>
          <t>MODERN_RETAIL</t>
        </is>
      </c>
      <c r="G1007" s="10" t="inlineStr">
        <is>
          <t>Navi Mumbai</t>
        </is>
      </c>
      <c r="H1007" s="10" t="n">
        <v>152.72</v>
      </c>
      <c r="I1007" s="10" t="n">
        <v>600</v>
      </c>
      <c r="J1007" s="10" t="n">
        <v>900</v>
      </c>
      <c r="K1007" s="12" t="n">
        <v>799.3</v>
      </c>
      <c r="L1007" s="12" t="n">
        <v>0</v>
      </c>
      <c r="M1007" s="10" t="inlineStr">
        <is>
          <t>Yes</t>
        </is>
      </c>
      <c r="N1007" s="11" t="n">
        <v>0</v>
      </c>
      <c r="O1007" s="11" t="n">
        <v>0</v>
      </c>
      <c r="P1007" s="12" t="n">
        <v>0</v>
      </c>
    </row>
    <row r="1008">
      <c r="B1008" s="16" t="inlineStr">
        <is>
          <t>MUM</t>
        </is>
      </c>
      <c r="C1008" s="16" t="inlineStr">
        <is>
          <t>VEH-MUM-007</t>
        </is>
      </c>
      <c r="D1008" s="16" t="n">
        <v>13</v>
      </c>
      <c r="E1008" s="16" t="inlineStr">
        <is>
          <t>ORD-MUM-002519</t>
        </is>
      </c>
      <c r="F1008" s="16" t="inlineStr">
        <is>
          <t>AUTOMOTIVE</t>
        </is>
      </c>
      <c r="G1008" s="16" t="inlineStr">
        <is>
          <t>Navi Mumbai</t>
        </is>
      </c>
      <c r="H1008" s="16" t="n">
        <v>43.58</v>
      </c>
      <c r="I1008" s="16" t="n">
        <v>660</v>
      </c>
      <c r="J1008" s="16" t="n">
        <v>900</v>
      </c>
      <c r="K1008" s="18" t="n">
        <v>821.2</v>
      </c>
      <c r="L1008" s="18" t="n">
        <v>0</v>
      </c>
      <c r="M1008" s="16" t="inlineStr">
        <is>
          <t>Yes</t>
        </is>
      </c>
      <c r="N1008" s="17" t="n">
        <v>2.138</v>
      </c>
      <c r="O1008" s="17" t="n">
        <v>2.886</v>
      </c>
      <c r="P1008" s="18" t="n">
        <v>6.6</v>
      </c>
    </row>
    <row r="1009">
      <c r="B1009" s="10" t="inlineStr">
        <is>
          <t>MUM</t>
        </is>
      </c>
      <c r="C1009" s="10" t="inlineStr">
        <is>
          <t>VEH-MUM-008</t>
        </is>
      </c>
      <c r="D1009" s="10" t="n">
        <v>1</v>
      </c>
      <c r="E1009" s="10" t="inlineStr">
        <is>
          <t>ORD-MUM-002389</t>
        </is>
      </c>
      <c r="F1009" s="10" t="inlineStr">
        <is>
          <t>ECOM_B2C</t>
        </is>
      </c>
      <c r="G1009" s="10" t="inlineStr">
        <is>
          <t>Thane</t>
        </is>
      </c>
      <c r="H1009" s="10" t="n">
        <v>3.59</v>
      </c>
      <c r="I1009" s="10" t="n">
        <v>540</v>
      </c>
      <c r="J1009" s="10" t="n">
        <v>720</v>
      </c>
      <c r="K1009" s="12" t="n">
        <v>540</v>
      </c>
      <c r="L1009" s="12" t="n">
        <v>0</v>
      </c>
      <c r="M1009" s="10" t="inlineStr">
        <is>
          <t>Yes</t>
        </is>
      </c>
      <c r="N1009" s="11" t="n">
        <v>7.286</v>
      </c>
      <c r="O1009" s="11" t="n">
        <v>9.836</v>
      </c>
      <c r="P1009" s="12" t="n">
        <v>37.2</v>
      </c>
    </row>
    <row r="1010">
      <c r="B1010" s="16" t="inlineStr">
        <is>
          <t>MUM</t>
        </is>
      </c>
      <c r="C1010" s="16" t="inlineStr">
        <is>
          <t>VEH-MUM-008</t>
        </is>
      </c>
      <c r="D1010" s="16" t="n">
        <v>2</v>
      </c>
      <c r="E1010" s="16" t="inlineStr">
        <is>
          <t>ORD-MUM-002412</t>
        </is>
      </c>
      <c r="F1010" s="16" t="inlineStr">
        <is>
          <t>ECOM_B2C</t>
        </is>
      </c>
      <c r="G1010" s="16" t="inlineStr">
        <is>
          <t>Thane</t>
        </is>
      </c>
      <c r="H1010" s="16" t="n">
        <v>0.28</v>
      </c>
      <c r="I1010" s="16" t="n">
        <v>540</v>
      </c>
      <c r="J1010" s="16" t="n">
        <v>720</v>
      </c>
      <c r="K1010" s="18" t="n">
        <v>550.5</v>
      </c>
      <c r="L1010" s="18" t="n">
        <v>0</v>
      </c>
      <c r="M1010" s="16" t="inlineStr">
        <is>
          <t>Yes</t>
        </is>
      </c>
      <c r="N1010" s="17" t="n">
        <v>1.28</v>
      </c>
      <c r="O1010" s="17" t="n">
        <v>1.727</v>
      </c>
      <c r="P1010" s="18" t="n">
        <v>6.5</v>
      </c>
    </row>
    <row r="1011">
      <c r="B1011" s="10" t="inlineStr">
        <is>
          <t>MUM</t>
        </is>
      </c>
      <c r="C1011" s="10" t="inlineStr">
        <is>
          <t>VEH-MUM-008</t>
        </is>
      </c>
      <c r="D1011" s="10" t="n">
        <v>3</v>
      </c>
      <c r="E1011" s="10" t="inlineStr">
        <is>
          <t>ORD-MUM-002413</t>
        </is>
      </c>
      <c r="F1011" s="10" t="inlineStr">
        <is>
          <t>ECOM_B2C</t>
        </is>
      </c>
      <c r="G1011" s="10" t="inlineStr">
        <is>
          <t>Thane</t>
        </is>
      </c>
      <c r="H1011" s="10" t="n">
        <v>3.13</v>
      </c>
      <c r="I1011" s="10" t="n">
        <v>540</v>
      </c>
      <c r="J1011" s="10" t="n">
        <v>720</v>
      </c>
      <c r="K1011" s="12" t="n">
        <v>554.5</v>
      </c>
      <c r="L1011" s="12" t="n">
        <v>0</v>
      </c>
      <c r="M1011" s="10" t="inlineStr">
        <is>
          <t>Yes</t>
        </is>
      </c>
      <c r="N1011" s="11" t="n">
        <v>0</v>
      </c>
      <c r="O1011" s="11" t="n">
        <v>0</v>
      </c>
      <c r="P1011" s="12" t="n">
        <v>0</v>
      </c>
    </row>
    <row r="1012">
      <c r="B1012" s="16" t="inlineStr">
        <is>
          <t>MUM</t>
        </is>
      </c>
      <c r="C1012" s="16" t="inlineStr">
        <is>
          <t>VEH-MUM-008</t>
        </is>
      </c>
      <c r="D1012" s="16" t="n">
        <v>4</v>
      </c>
      <c r="E1012" s="16" t="inlineStr">
        <is>
          <t>ORD-MUM-002283</t>
        </is>
      </c>
      <c r="F1012" s="16" t="inlineStr">
        <is>
          <t>ECOM_B2C</t>
        </is>
      </c>
      <c r="G1012" s="16" t="inlineStr">
        <is>
          <t>Thane</t>
        </is>
      </c>
      <c r="H1012" s="16" t="n">
        <v>3.11</v>
      </c>
      <c r="I1012" s="16" t="n">
        <v>540</v>
      </c>
      <c r="J1012" s="16" t="n">
        <v>720</v>
      </c>
      <c r="K1012" s="18" t="n">
        <v>560.8</v>
      </c>
      <c r="L1012" s="18" t="n">
        <v>0</v>
      </c>
      <c r="M1012" s="16" t="inlineStr">
        <is>
          <t>Yes</t>
        </is>
      </c>
      <c r="N1012" s="17" t="n">
        <v>0.451</v>
      </c>
      <c r="O1012" s="17" t="n">
        <v>0.609</v>
      </c>
      <c r="P1012" s="18" t="n">
        <v>2.3</v>
      </c>
    </row>
    <row r="1013">
      <c r="B1013" s="10" t="inlineStr">
        <is>
          <t>MUM</t>
        </is>
      </c>
      <c r="C1013" s="10" t="inlineStr">
        <is>
          <t>VEH-MUM-008</t>
        </is>
      </c>
      <c r="D1013" s="10" t="n">
        <v>5</v>
      </c>
      <c r="E1013" s="10" t="inlineStr">
        <is>
          <t>ORD-MUM-002289</t>
        </is>
      </c>
      <c r="F1013" s="10" t="inlineStr">
        <is>
          <t>ECOM_B2C</t>
        </is>
      </c>
      <c r="G1013" s="10" t="inlineStr">
        <is>
          <t>Thane</t>
        </is>
      </c>
      <c r="H1013" s="10" t="n">
        <v>1.06</v>
      </c>
      <c r="I1013" s="10" t="n">
        <v>540</v>
      </c>
      <c r="J1013" s="10" t="n">
        <v>720</v>
      </c>
      <c r="K1013" s="12" t="n">
        <v>585</v>
      </c>
      <c r="L1013" s="12" t="n">
        <v>0</v>
      </c>
      <c r="M1013" s="10" t="inlineStr">
        <is>
          <t>Yes</t>
        </is>
      </c>
      <c r="N1013" s="11" t="n">
        <v>3.962</v>
      </c>
      <c r="O1013" s="11" t="n">
        <v>5.349</v>
      </c>
      <c r="P1013" s="12" t="n">
        <v>20.2</v>
      </c>
    </row>
    <row r="1014">
      <c r="B1014" s="16" t="inlineStr">
        <is>
          <t>MUM</t>
        </is>
      </c>
      <c r="C1014" s="16" t="inlineStr">
        <is>
          <t>VEH-MUM-008</t>
        </is>
      </c>
      <c r="D1014" s="16" t="n">
        <v>6</v>
      </c>
      <c r="E1014" s="16" t="inlineStr">
        <is>
          <t>ORD-MUM-002295</t>
        </is>
      </c>
      <c r="F1014" s="16" t="inlineStr">
        <is>
          <t>ECOM_B2C</t>
        </is>
      </c>
      <c r="G1014" s="16" t="inlineStr">
        <is>
          <t>Thane</t>
        </is>
      </c>
      <c r="H1014" s="16" t="n">
        <v>1.88</v>
      </c>
      <c r="I1014" s="16" t="n">
        <v>720</v>
      </c>
      <c r="J1014" s="16" t="n">
        <v>900</v>
      </c>
      <c r="K1014" s="18" t="n">
        <v>591.2</v>
      </c>
      <c r="L1014" s="18" t="n">
        <v>0</v>
      </c>
      <c r="M1014" s="16" t="inlineStr">
        <is>
          <t>Yes</t>
        </is>
      </c>
      <c r="N1014" s="17" t="n">
        <v>0.421</v>
      </c>
      <c r="O1014" s="17" t="n">
        <v>0.569</v>
      </c>
      <c r="P1014" s="18" t="n">
        <v>2.1</v>
      </c>
    </row>
    <row r="1015">
      <c r="B1015" s="10" t="inlineStr">
        <is>
          <t>MUM</t>
        </is>
      </c>
      <c r="C1015" s="10" t="inlineStr">
        <is>
          <t>VEH-MUM-008</t>
        </is>
      </c>
      <c r="D1015" s="10" t="n">
        <v>7</v>
      </c>
      <c r="E1015" s="10" t="inlineStr">
        <is>
          <t>ORD-MUM-002474</t>
        </is>
      </c>
      <c r="F1015" s="10" t="inlineStr">
        <is>
          <t>MODERN_RETAIL</t>
        </is>
      </c>
      <c r="G1015" s="10" t="inlineStr">
        <is>
          <t>Bandra</t>
        </is>
      </c>
      <c r="H1015" s="10" t="n">
        <v>195.12</v>
      </c>
      <c r="I1015" s="10" t="n">
        <v>600</v>
      </c>
      <c r="J1015" s="10" t="n">
        <v>900</v>
      </c>
      <c r="K1015" s="12" t="n">
        <v>781</v>
      </c>
      <c r="L1015" s="12" t="n">
        <v>0</v>
      </c>
      <c r="M1015" s="10" t="inlineStr">
        <is>
          <t>Yes</t>
        </is>
      </c>
      <c r="N1015" s="11" t="n">
        <v>18.074</v>
      </c>
      <c r="O1015" s="11" t="n">
        <v>24.4</v>
      </c>
      <c r="P1015" s="12" t="n">
        <v>57</v>
      </c>
    </row>
    <row r="1016">
      <c r="B1016" s="16" t="inlineStr">
        <is>
          <t>MUM</t>
        </is>
      </c>
      <c r="C1016" s="16" t="inlineStr">
        <is>
          <t>VEH-MUM-008</t>
        </is>
      </c>
      <c r="D1016" s="16" t="n">
        <v>8</v>
      </c>
      <c r="E1016" s="16" t="inlineStr">
        <is>
          <t>ORD-MUM-002525</t>
        </is>
      </c>
      <c r="F1016" s="16" t="inlineStr">
        <is>
          <t>AUTOMOTIVE</t>
        </is>
      </c>
      <c r="G1016" s="16" t="inlineStr">
        <is>
          <t>South Mumbai</t>
        </is>
      </c>
      <c r="H1016" s="16" t="n">
        <v>109.56</v>
      </c>
      <c r="I1016" s="16" t="n">
        <v>840</v>
      </c>
      <c r="J1016" s="16" t="n">
        <v>960</v>
      </c>
      <c r="K1016" s="18" t="n">
        <v>843.4</v>
      </c>
      <c r="L1016" s="18" t="n">
        <v>0</v>
      </c>
      <c r="M1016" s="16" t="inlineStr">
        <is>
          <t>Yes</t>
        </is>
      </c>
      <c r="N1016" s="17" t="n">
        <v>14.074</v>
      </c>
      <c r="O1016" s="17" t="n">
        <v>19</v>
      </c>
      <c r="P1016" s="18" t="n">
        <v>45.6</v>
      </c>
    </row>
    <row r="1017">
      <c r="B1017" s="10" t="inlineStr">
        <is>
          <t>MUM</t>
        </is>
      </c>
      <c r="C1017" s="10" t="inlineStr">
        <is>
          <t>VEH-MUM-008</t>
        </is>
      </c>
      <c r="D1017" s="10" t="n">
        <v>9</v>
      </c>
      <c r="E1017" s="10" t="inlineStr">
        <is>
          <t>ORD-MUM-002511</t>
        </is>
      </c>
      <c r="F1017" s="10" t="inlineStr">
        <is>
          <t>AUTOMOTIVE</t>
        </is>
      </c>
      <c r="G1017" s="10" t="inlineStr">
        <is>
          <t>South Mumbai</t>
        </is>
      </c>
      <c r="H1017" s="10" t="n">
        <v>20.3</v>
      </c>
      <c r="I1017" s="10" t="n">
        <v>840</v>
      </c>
      <c r="J1017" s="10" t="n">
        <v>1080</v>
      </c>
      <c r="K1017" s="12" t="n">
        <v>857.8</v>
      </c>
      <c r="L1017" s="12" t="n">
        <v>0</v>
      </c>
      <c r="M1017" s="10" t="inlineStr">
        <is>
          <t>Yes</t>
        </is>
      </c>
      <c r="N1017" s="11" t="n">
        <v>0.166</v>
      </c>
      <c r="O1017" s="11" t="n">
        <v>0.224</v>
      </c>
      <c r="P1017" s="12" t="n">
        <v>0.5</v>
      </c>
    </row>
    <row r="1018">
      <c r="B1018" s="16" t="inlineStr">
        <is>
          <t>MUM</t>
        </is>
      </c>
      <c r="C1018" s="16" t="inlineStr">
        <is>
          <t>VEH-MUM-008</t>
        </is>
      </c>
      <c r="D1018" s="16" t="n">
        <v>10</v>
      </c>
      <c r="E1018" s="16" t="inlineStr">
        <is>
          <t>ORD-MUM-002489</t>
        </is>
      </c>
      <c r="F1018" s="16" t="inlineStr">
        <is>
          <t>MODERN_RETAIL</t>
        </is>
      </c>
      <c r="G1018" s="16" t="inlineStr">
        <is>
          <t>South Mumbai</t>
        </is>
      </c>
      <c r="H1018" s="16" t="n">
        <v>334.04</v>
      </c>
      <c r="I1018" s="16" t="n">
        <v>840</v>
      </c>
      <c r="J1018" s="16" t="n">
        <v>1080</v>
      </c>
      <c r="K1018" s="18" t="n">
        <v>873.2</v>
      </c>
      <c r="L1018" s="18" t="n">
        <v>0</v>
      </c>
      <c r="M1018" s="16" t="inlineStr">
        <is>
          <t>Yes</t>
        </is>
      </c>
      <c r="N1018" s="17" t="n">
        <v>1.438</v>
      </c>
      <c r="O1018" s="17" t="n">
        <v>1.942</v>
      </c>
      <c r="P1018" s="18" t="n">
        <v>4.7</v>
      </c>
    </row>
    <row r="1019">
      <c r="B1019" s="10" t="inlineStr">
        <is>
          <t>MUM</t>
        </is>
      </c>
      <c r="C1019" s="10" t="inlineStr">
        <is>
          <t>VEH-MUM-008</t>
        </is>
      </c>
      <c r="D1019" s="10" t="n">
        <v>11</v>
      </c>
      <c r="E1019" s="10" t="inlineStr">
        <is>
          <t>ORD-MUM-002475</t>
        </is>
      </c>
      <c r="F1019" s="10" t="inlineStr">
        <is>
          <t>MODERN_RETAIL</t>
        </is>
      </c>
      <c r="G1019" s="10" t="inlineStr">
        <is>
          <t>South Mumbai</t>
        </is>
      </c>
      <c r="H1019" s="10" t="n">
        <v>107.01</v>
      </c>
      <c r="I1019" s="10" t="n">
        <v>600</v>
      </c>
      <c r="J1019" s="10" t="n">
        <v>900</v>
      </c>
      <c r="K1019" s="12" t="n">
        <v>894.8</v>
      </c>
      <c r="L1019" s="12" t="n">
        <v>0</v>
      </c>
      <c r="M1019" s="10" t="inlineStr">
        <is>
          <t>Yes</t>
        </is>
      </c>
      <c r="N1019" s="11" t="n">
        <v>0</v>
      </c>
      <c r="O1019" s="11" t="n">
        <v>0</v>
      </c>
      <c r="P1019" s="12" t="n">
        <v>0</v>
      </c>
    </row>
    <row r="1020">
      <c r="B1020" s="16" t="inlineStr">
        <is>
          <t>MUM</t>
        </is>
      </c>
      <c r="C1020" s="16" t="inlineStr">
        <is>
          <t>VEH-MUM-008</t>
        </is>
      </c>
      <c r="D1020" s="16" t="n">
        <v>12</v>
      </c>
      <c r="E1020" s="16" t="inlineStr">
        <is>
          <t>ORD-MUM-002508</t>
        </is>
      </c>
      <c r="F1020" s="16" t="inlineStr">
        <is>
          <t>AUTOMOTIVE</t>
        </is>
      </c>
      <c r="G1020" s="16" t="inlineStr">
        <is>
          <t>Thane</t>
        </is>
      </c>
      <c r="H1020" s="16" t="n">
        <v>54.32</v>
      </c>
      <c r="I1020" s="16" t="n">
        <v>840</v>
      </c>
      <c r="J1020" s="16" t="n">
        <v>1080</v>
      </c>
      <c r="K1020" s="18" t="n">
        <v>1010.1</v>
      </c>
      <c r="L1020" s="18" t="n">
        <v>0</v>
      </c>
      <c r="M1020" s="16" t="inlineStr">
        <is>
          <t>Yes</t>
        </is>
      </c>
      <c r="N1020" s="17" t="n">
        <v>32.559</v>
      </c>
      <c r="O1020" s="17" t="n">
        <v>43.955</v>
      </c>
      <c r="P1020" s="18" t="n">
        <v>101.5</v>
      </c>
    </row>
    <row r="1021">
      <c r="B1021" s="10" t="inlineStr">
        <is>
          <t>MUM</t>
        </is>
      </c>
      <c r="C1021" s="10" t="inlineStr">
        <is>
          <t>VEH-MUM-008</t>
        </is>
      </c>
      <c r="D1021" s="10" t="n">
        <v>13</v>
      </c>
      <c r="E1021" s="10" t="inlineStr">
        <is>
          <t>ORD-MUM-002411</t>
        </is>
      </c>
      <c r="F1021" s="10" t="inlineStr">
        <is>
          <t>ECOM_B2C</t>
        </is>
      </c>
      <c r="G1021" s="10" t="inlineStr">
        <is>
          <t>Thane</t>
        </is>
      </c>
      <c r="H1021" s="10" t="n">
        <v>13.95</v>
      </c>
      <c r="I1021" s="10" t="n">
        <v>900</v>
      </c>
      <c r="J1021" s="10" t="n">
        <v>1080</v>
      </c>
      <c r="K1021" s="12" t="n">
        <v>1025.5</v>
      </c>
      <c r="L1021" s="12" t="n">
        <v>0</v>
      </c>
      <c r="M1021" s="10" t="inlineStr">
        <is>
          <t>Yes</t>
        </is>
      </c>
      <c r="N1021" s="11" t="n">
        <v>0.5580000000000001</v>
      </c>
      <c r="O1021" s="11" t="n">
        <v>0.753</v>
      </c>
      <c r="P1021" s="12" t="n">
        <v>3.5</v>
      </c>
    </row>
    <row r="1022">
      <c r="B1022" s="16" t="inlineStr">
        <is>
          <t>MUM</t>
        </is>
      </c>
      <c r="C1022" s="16" t="inlineStr">
        <is>
          <t>VEH-MUM-009</t>
        </is>
      </c>
      <c r="D1022" s="16" t="n">
        <v>1</v>
      </c>
      <c r="E1022" s="16" t="inlineStr">
        <is>
          <t>ORD-MUM-002485</t>
        </is>
      </c>
      <c r="F1022" s="16" t="inlineStr">
        <is>
          <t>MODERN_RETAIL</t>
        </is>
      </c>
      <c r="G1022" s="16" t="inlineStr">
        <is>
          <t>South Mumbai</t>
        </is>
      </c>
      <c r="H1022" s="16" t="n">
        <v>137.09</v>
      </c>
      <c r="I1022" s="16" t="n">
        <v>600</v>
      </c>
      <c r="J1022" s="16" t="n">
        <v>900</v>
      </c>
      <c r="K1022" s="18" t="n">
        <v>537.8</v>
      </c>
      <c r="L1022" s="18" t="n">
        <v>0</v>
      </c>
      <c r="M1022" s="16" t="inlineStr">
        <is>
          <t>Yes</t>
        </is>
      </c>
      <c r="N1022" s="17" t="n">
        <v>40.001</v>
      </c>
      <c r="O1022" s="17" t="n">
        <v>54.001</v>
      </c>
      <c r="P1022" s="18" t="n">
        <v>117.8</v>
      </c>
    </row>
    <row r="1023">
      <c r="B1023" s="10" t="inlineStr">
        <is>
          <t>MUM</t>
        </is>
      </c>
      <c r="C1023" s="10" t="inlineStr">
        <is>
          <t>VEH-MUM-009</t>
        </is>
      </c>
      <c r="D1023" s="10" t="n">
        <v>2</v>
      </c>
      <c r="E1023" s="10" t="inlineStr">
        <is>
          <t>ORD-MUM-002481</t>
        </is>
      </c>
      <c r="F1023" s="10" t="inlineStr">
        <is>
          <t>MODERN_RETAIL</t>
        </is>
      </c>
      <c r="G1023" s="10" t="inlineStr">
        <is>
          <t>South Mumbai</t>
        </is>
      </c>
      <c r="H1023" s="10" t="n">
        <v>609.64</v>
      </c>
      <c r="I1023" s="10" t="n">
        <v>480</v>
      </c>
      <c r="J1023" s="10" t="n">
        <v>720</v>
      </c>
      <c r="K1023" s="12" t="n">
        <v>614.8</v>
      </c>
      <c r="L1023" s="12" t="n">
        <v>0</v>
      </c>
      <c r="M1023" s="10" t="inlineStr">
        <is>
          <t>Yes</t>
        </is>
      </c>
      <c r="N1023" s="11" t="n">
        <v>0</v>
      </c>
      <c r="O1023" s="11" t="n">
        <v>0</v>
      </c>
      <c r="P1023" s="12" t="n">
        <v>0</v>
      </c>
    </row>
    <row r="1024">
      <c r="B1024" s="16" t="inlineStr">
        <is>
          <t>MUM</t>
        </is>
      </c>
      <c r="C1024" s="16" t="inlineStr">
        <is>
          <t>VEH-MUM-009</t>
        </is>
      </c>
      <c r="D1024" s="16" t="n">
        <v>3</v>
      </c>
      <c r="E1024" s="16" t="inlineStr">
        <is>
          <t>ORD-MUM-002480</t>
        </is>
      </c>
      <c r="F1024" s="16" t="inlineStr">
        <is>
          <t>MODERN_RETAIL</t>
        </is>
      </c>
      <c r="G1024" s="16" t="inlineStr">
        <is>
          <t>South Mumbai</t>
        </is>
      </c>
      <c r="H1024" s="16" t="n">
        <v>135.86</v>
      </c>
      <c r="I1024" s="16" t="n">
        <v>480</v>
      </c>
      <c r="J1024" s="16" t="n">
        <v>720</v>
      </c>
      <c r="K1024" s="18" t="n">
        <v>647.7</v>
      </c>
      <c r="L1024" s="18" t="n">
        <v>0</v>
      </c>
      <c r="M1024" s="16" t="inlineStr">
        <is>
          <t>Yes</t>
        </is>
      </c>
      <c r="N1024" s="17" t="n">
        <v>0.297</v>
      </c>
      <c r="O1024" s="17" t="n">
        <v>0.401</v>
      </c>
      <c r="P1024" s="18" t="n">
        <v>1.6</v>
      </c>
    </row>
    <row r="1025">
      <c r="B1025" s="10" t="inlineStr">
        <is>
          <t>MUM</t>
        </is>
      </c>
      <c r="C1025" s="10" t="inlineStr">
        <is>
          <t>VEH-MUM-009</t>
        </is>
      </c>
      <c r="D1025" s="10" t="n">
        <v>4</v>
      </c>
      <c r="E1025" s="10" t="inlineStr">
        <is>
          <t>ORD-MUM-002516</t>
        </is>
      </c>
      <c r="F1025" s="10" t="inlineStr">
        <is>
          <t>AUTOMOTIVE</t>
        </is>
      </c>
      <c r="G1025" s="10" t="inlineStr">
        <is>
          <t>South Mumbai</t>
        </is>
      </c>
      <c r="H1025" s="10" t="n">
        <v>16.93</v>
      </c>
      <c r="I1025" s="10" t="n">
        <v>480</v>
      </c>
      <c r="J1025" s="10" t="n">
        <v>720</v>
      </c>
      <c r="K1025" s="12" t="n">
        <v>676.9</v>
      </c>
      <c r="L1025" s="12" t="n">
        <v>0</v>
      </c>
      <c r="M1025" s="10" t="inlineStr">
        <is>
          <t>Yes</t>
        </is>
      </c>
      <c r="N1025" s="11" t="n">
        <v>4.462</v>
      </c>
      <c r="O1025" s="11" t="n">
        <v>6.023</v>
      </c>
      <c r="P1025" s="12" t="n">
        <v>14.5</v>
      </c>
    </row>
    <row r="1026">
      <c r="B1026" s="16" t="inlineStr">
        <is>
          <t>MUM</t>
        </is>
      </c>
      <c r="C1026" s="16" t="inlineStr">
        <is>
          <t>VEH-MUM-009</t>
        </is>
      </c>
      <c r="D1026" s="16" t="n">
        <v>5</v>
      </c>
      <c r="E1026" s="16" t="inlineStr">
        <is>
          <t>ORD-MUM-002509</t>
        </is>
      </c>
      <c r="F1026" s="16" t="inlineStr">
        <is>
          <t>AUTOMOTIVE</t>
        </is>
      </c>
      <c r="G1026" s="16" t="inlineStr">
        <is>
          <t>South Mumbai</t>
        </is>
      </c>
      <c r="H1026" s="16" t="n">
        <v>32.44</v>
      </c>
      <c r="I1026" s="16" t="n">
        <v>660</v>
      </c>
      <c r="J1026" s="16" t="n">
        <v>780</v>
      </c>
      <c r="K1026" s="18" t="n">
        <v>695.9</v>
      </c>
      <c r="L1026" s="18" t="n">
        <v>0</v>
      </c>
      <c r="M1026" s="16" t="inlineStr">
        <is>
          <t>Yes</t>
        </is>
      </c>
      <c r="N1026" s="17" t="n">
        <v>2.59</v>
      </c>
      <c r="O1026" s="17" t="n">
        <v>3.497</v>
      </c>
      <c r="P1026" s="18" t="n">
        <v>8.4</v>
      </c>
    </row>
    <row r="1027">
      <c r="B1027" s="10" t="inlineStr">
        <is>
          <t>MUM</t>
        </is>
      </c>
      <c r="C1027" s="10" t="inlineStr">
        <is>
          <t>VEH-MUM-009</t>
        </is>
      </c>
      <c r="D1027" s="10" t="n">
        <v>6</v>
      </c>
      <c r="E1027" s="10" t="inlineStr">
        <is>
          <t>ORD-MUM-002504</t>
        </is>
      </c>
      <c r="F1027" s="10" t="inlineStr">
        <is>
          <t>AUTOMOTIVE</t>
        </is>
      </c>
      <c r="G1027" s="10" t="inlineStr">
        <is>
          <t>Bandra</t>
        </is>
      </c>
      <c r="H1027" s="10" t="n">
        <v>41.77</v>
      </c>
      <c r="I1027" s="10" t="n">
        <v>660</v>
      </c>
      <c r="J1027" s="10" t="n">
        <v>900</v>
      </c>
      <c r="K1027" s="12" t="n">
        <v>738.6</v>
      </c>
      <c r="L1027" s="12" t="n">
        <v>0</v>
      </c>
      <c r="M1027" s="10" t="inlineStr">
        <is>
          <t>Yes</t>
        </is>
      </c>
      <c r="N1027" s="11" t="n">
        <v>9.997</v>
      </c>
      <c r="O1027" s="11" t="n">
        <v>13.496</v>
      </c>
      <c r="P1027" s="12" t="n">
        <v>31.5</v>
      </c>
    </row>
    <row r="1028">
      <c r="B1028" s="16" t="inlineStr">
        <is>
          <t>MUM</t>
        </is>
      </c>
      <c r="C1028" s="16" t="inlineStr">
        <is>
          <t>VEH-MUM-009</t>
        </is>
      </c>
      <c r="D1028" s="16" t="n">
        <v>7</v>
      </c>
      <c r="E1028" s="16" t="inlineStr">
        <is>
          <t>ORD-MUM-002298</t>
        </is>
      </c>
      <c r="F1028" s="16" t="inlineStr">
        <is>
          <t>ECOM_B2C</t>
        </is>
      </c>
      <c r="G1028" s="16" t="inlineStr">
        <is>
          <t>Thane</t>
        </is>
      </c>
      <c r="H1028" s="16" t="n">
        <v>0.62</v>
      </c>
      <c r="I1028" s="16" t="n">
        <v>720</v>
      </c>
      <c r="J1028" s="16" t="n">
        <v>900</v>
      </c>
      <c r="K1028" s="18" t="n">
        <v>824.9</v>
      </c>
      <c r="L1028" s="18" t="n">
        <v>0</v>
      </c>
      <c r="M1028" s="16" t="inlineStr">
        <is>
          <t>Yes</t>
        </is>
      </c>
      <c r="N1028" s="17" t="n">
        <v>24.021</v>
      </c>
      <c r="O1028" s="17" t="n">
        <v>32.429</v>
      </c>
      <c r="P1028" s="18" t="n">
        <v>74.90000000000001</v>
      </c>
    </row>
    <row r="1029">
      <c r="B1029" s="10" t="inlineStr">
        <is>
          <t>MUM</t>
        </is>
      </c>
      <c r="C1029" s="10" t="inlineStr">
        <is>
          <t>VEH-MUM-009</t>
        </is>
      </c>
      <c r="D1029" s="10" t="n">
        <v>8</v>
      </c>
      <c r="E1029" s="10" t="inlineStr">
        <is>
          <t>ORD-MUM-002400</t>
        </is>
      </c>
      <c r="F1029" s="10" t="inlineStr">
        <is>
          <t>ECOM_B2C</t>
        </is>
      </c>
      <c r="G1029" s="10" t="inlineStr">
        <is>
          <t>Thane</t>
        </is>
      </c>
      <c r="H1029" s="10" t="n">
        <v>1.73</v>
      </c>
      <c r="I1029" s="10" t="n">
        <v>720</v>
      </c>
      <c r="J1029" s="10" t="n">
        <v>900</v>
      </c>
      <c r="K1029" s="12" t="n">
        <v>832.4</v>
      </c>
      <c r="L1029" s="12" t="n">
        <v>0</v>
      </c>
      <c r="M1029" s="10" t="inlineStr">
        <is>
          <t>Yes</t>
        </is>
      </c>
      <c r="N1029" s="11" t="n">
        <v>1.124</v>
      </c>
      <c r="O1029" s="11" t="n">
        <v>1.517</v>
      </c>
      <c r="P1029" s="12" t="n">
        <v>3.5</v>
      </c>
    </row>
    <row r="1030">
      <c r="B1030" s="16" t="inlineStr">
        <is>
          <t>MUM</t>
        </is>
      </c>
      <c r="C1030" s="16" t="inlineStr">
        <is>
          <t>VEH-MUM-010</t>
        </is>
      </c>
      <c r="D1030" s="16" t="n">
        <v>1</v>
      </c>
      <c r="E1030" s="16" t="inlineStr">
        <is>
          <t>ORD-MUM-002264</t>
        </is>
      </c>
      <c r="F1030" s="16" t="inlineStr">
        <is>
          <t>ECOM_B2C</t>
        </is>
      </c>
      <c r="G1030" s="16" t="inlineStr">
        <is>
          <t>Thane</t>
        </is>
      </c>
      <c r="H1030" s="16" t="n">
        <v>1.5</v>
      </c>
      <c r="I1030" s="16" t="n">
        <v>720</v>
      </c>
      <c r="J1030" s="16" t="n">
        <v>900</v>
      </c>
      <c r="K1030" s="18" t="n">
        <v>720</v>
      </c>
      <c r="L1030" s="18" t="n">
        <v>0</v>
      </c>
      <c r="M1030" s="16" t="inlineStr">
        <is>
          <t>Yes</t>
        </is>
      </c>
      <c r="N1030" s="17" t="n">
        <v>7.503</v>
      </c>
      <c r="O1030" s="17" t="n">
        <v>10.13</v>
      </c>
      <c r="P1030" s="18" t="n">
        <v>23.4</v>
      </c>
    </row>
    <row r="1031">
      <c r="B1031" s="10" t="inlineStr">
        <is>
          <t>MUM</t>
        </is>
      </c>
      <c r="C1031" s="10" t="inlineStr">
        <is>
          <t>VEH-MUM-010</t>
        </is>
      </c>
      <c r="D1031" s="10" t="n">
        <v>2</v>
      </c>
      <c r="E1031" s="10" t="inlineStr">
        <is>
          <t>ORD-MUM-002323</t>
        </is>
      </c>
      <c r="F1031" s="10" t="inlineStr">
        <is>
          <t>ECOM_B2C</t>
        </is>
      </c>
      <c r="G1031" s="10" t="inlineStr">
        <is>
          <t>Thane</t>
        </is>
      </c>
      <c r="H1031" s="10" t="n">
        <v>1.74</v>
      </c>
      <c r="I1031" s="10" t="n">
        <v>720</v>
      </c>
      <c r="J1031" s="10" t="n">
        <v>900</v>
      </c>
      <c r="K1031" s="12" t="n">
        <v>728.7</v>
      </c>
      <c r="L1031" s="12" t="n">
        <v>0</v>
      </c>
      <c r="M1031" s="10" t="inlineStr">
        <is>
          <t>Yes</t>
        </is>
      </c>
      <c r="N1031" s="11" t="n">
        <v>1.513</v>
      </c>
      <c r="O1031" s="11" t="n">
        <v>2.043</v>
      </c>
      <c r="P1031" s="12" t="n">
        <v>4.7</v>
      </c>
    </row>
    <row r="1032">
      <c r="B1032" s="16" t="inlineStr">
        <is>
          <t>MUM</t>
        </is>
      </c>
      <c r="C1032" s="16" t="inlineStr">
        <is>
          <t>VEH-MUM-010</t>
        </is>
      </c>
      <c r="D1032" s="16" t="n">
        <v>3</v>
      </c>
      <c r="E1032" s="16" t="inlineStr">
        <is>
          <t>ORD-MUM-002415</t>
        </is>
      </c>
      <c r="F1032" s="16" t="inlineStr">
        <is>
          <t>ECOM_B2C</t>
        </is>
      </c>
      <c r="G1032" s="16" t="inlineStr">
        <is>
          <t>Thane</t>
        </is>
      </c>
      <c r="H1032" s="16" t="n">
        <v>15.3</v>
      </c>
      <c r="I1032" s="16" t="n">
        <v>720</v>
      </c>
      <c r="J1032" s="16" t="n">
        <v>900</v>
      </c>
      <c r="K1032" s="18" t="n">
        <v>735.2</v>
      </c>
      <c r="L1032" s="18" t="n">
        <v>0</v>
      </c>
      <c r="M1032" s="16" t="inlineStr">
        <is>
          <t>Yes</t>
        </is>
      </c>
      <c r="N1032" s="17" t="n">
        <v>0.794</v>
      </c>
      <c r="O1032" s="17" t="n">
        <v>1.072</v>
      </c>
      <c r="P1032" s="18" t="n">
        <v>2.5</v>
      </c>
    </row>
    <row r="1033">
      <c r="B1033" s="10" t="inlineStr">
        <is>
          <t>MUM</t>
        </is>
      </c>
      <c r="C1033" s="10" t="inlineStr">
        <is>
          <t>VEH-MUM-010</t>
        </is>
      </c>
      <c r="D1033" s="10" t="n">
        <v>4</v>
      </c>
      <c r="E1033" s="10" t="inlineStr">
        <is>
          <t>ORD-MUM-002291</t>
        </is>
      </c>
      <c r="F1033" s="10" t="inlineStr">
        <is>
          <t>ECOM_B2C</t>
        </is>
      </c>
      <c r="G1033" s="10" t="inlineStr">
        <is>
          <t>Thane</t>
        </is>
      </c>
      <c r="H1033" s="10" t="n">
        <v>2.14</v>
      </c>
      <c r="I1033" s="10" t="n">
        <v>720</v>
      </c>
      <c r="J1033" s="10" t="n">
        <v>900</v>
      </c>
      <c r="K1033" s="12" t="n">
        <v>747</v>
      </c>
      <c r="L1033" s="12" t="n">
        <v>0</v>
      </c>
      <c r="M1033" s="10" t="inlineStr">
        <is>
          <t>Yes</t>
        </is>
      </c>
      <c r="N1033" s="11" t="n">
        <v>2.511</v>
      </c>
      <c r="O1033" s="11" t="n">
        <v>3.39</v>
      </c>
      <c r="P1033" s="12" t="n">
        <v>7.8</v>
      </c>
    </row>
    <row r="1034">
      <c r="B1034" s="16" t="inlineStr">
        <is>
          <t>MUM</t>
        </is>
      </c>
      <c r="C1034" s="16" t="inlineStr">
        <is>
          <t>VEH-MUM-010</t>
        </is>
      </c>
      <c r="D1034" s="16" t="n">
        <v>5</v>
      </c>
      <c r="E1034" s="16" t="inlineStr">
        <is>
          <t>ORD-MUM-002483</t>
        </is>
      </c>
      <c r="F1034" s="16" t="inlineStr">
        <is>
          <t>MODERN_RETAIL</t>
        </is>
      </c>
      <c r="G1034" s="16" t="inlineStr">
        <is>
          <t>Bandra</t>
        </is>
      </c>
      <c r="H1034" s="16" t="n">
        <v>224.68</v>
      </c>
      <c r="I1034" s="16" t="n">
        <v>840</v>
      </c>
      <c r="J1034" s="16" t="n">
        <v>1080</v>
      </c>
      <c r="K1034" s="18" t="n">
        <v>811.4</v>
      </c>
      <c r="L1034" s="18" t="n">
        <v>0</v>
      </c>
      <c r="M1034" s="16" t="inlineStr">
        <is>
          <t>Yes</t>
        </is>
      </c>
      <c r="N1034" s="17" t="n">
        <v>19.142</v>
      </c>
      <c r="O1034" s="17" t="n">
        <v>25.842</v>
      </c>
      <c r="P1034" s="18" t="n">
        <v>60.3</v>
      </c>
    </row>
    <row r="1035">
      <c r="B1035" s="10" t="inlineStr">
        <is>
          <t>MUM</t>
        </is>
      </c>
      <c r="C1035" s="10" t="inlineStr">
        <is>
          <t>VEH-MUM-010</t>
        </is>
      </c>
      <c r="D1035" s="10" t="n">
        <v>6</v>
      </c>
      <c r="E1035" s="10" t="inlineStr">
        <is>
          <t>ORD-MUM-002498</t>
        </is>
      </c>
      <c r="F1035" s="10" t="inlineStr">
        <is>
          <t>MODERN_RETAIL</t>
        </is>
      </c>
      <c r="G1035" s="10" t="inlineStr">
        <is>
          <t>Bandra</t>
        </is>
      </c>
      <c r="H1035" s="10" t="n">
        <v>112.19</v>
      </c>
      <c r="I1035" s="10" t="n">
        <v>600</v>
      </c>
      <c r="J1035" s="10" t="n">
        <v>900</v>
      </c>
      <c r="K1035" s="12" t="n">
        <v>868.6</v>
      </c>
      <c r="L1035" s="12" t="n">
        <v>0</v>
      </c>
      <c r="M1035" s="10" t="inlineStr">
        <is>
          <t>Yes</t>
        </is>
      </c>
      <c r="N1035" s="11" t="n">
        <v>3.411</v>
      </c>
      <c r="O1035" s="11" t="n">
        <v>4.605</v>
      </c>
      <c r="P1035" s="12" t="n">
        <v>10.8</v>
      </c>
    </row>
    <row r="1036">
      <c r="B1036" s="16" t="inlineStr">
        <is>
          <t>MUM</t>
        </is>
      </c>
      <c r="C1036" s="16" t="inlineStr">
        <is>
          <t>VEH-MUM-010</t>
        </is>
      </c>
      <c r="D1036" s="16" t="n">
        <v>7</v>
      </c>
      <c r="E1036" s="16" t="inlineStr">
        <is>
          <t>ORD-MUM-002493</t>
        </is>
      </c>
      <c r="F1036" s="16" t="inlineStr">
        <is>
          <t>MODERN_RETAIL</t>
        </is>
      </c>
      <c r="G1036" s="16" t="inlineStr">
        <is>
          <t>South Mumbai</t>
        </is>
      </c>
      <c r="H1036" s="16" t="n">
        <v>246.96</v>
      </c>
      <c r="I1036" s="16" t="n">
        <v>840</v>
      </c>
      <c r="J1036" s="16" t="n">
        <v>1080</v>
      </c>
      <c r="K1036" s="18" t="n">
        <v>909.3</v>
      </c>
      <c r="L1036" s="18" t="n">
        <v>0</v>
      </c>
      <c r="M1036" s="16" t="inlineStr">
        <is>
          <t>Yes</t>
        </is>
      </c>
      <c r="N1036" s="17" t="n">
        <v>8.265000000000001</v>
      </c>
      <c r="O1036" s="17" t="n">
        <v>11.157</v>
      </c>
      <c r="P1036" s="18" t="n">
        <v>26.8</v>
      </c>
    </row>
    <row r="1037">
      <c r="B1037" s="10" t="inlineStr">
        <is>
          <t>MUM</t>
        </is>
      </c>
      <c r="C1037" s="10" t="inlineStr">
        <is>
          <t>VEH-MUM-010</t>
        </is>
      </c>
      <c r="D1037" s="10" t="n">
        <v>8</v>
      </c>
      <c r="E1037" s="10" t="inlineStr">
        <is>
          <t>ORD-MUM-002496</t>
        </is>
      </c>
      <c r="F1037" s="10" t="inlineStr">
        <is>
          <t>MODERN_RETAIL</t>
        </is>
      </c>
      <c r="G1037" s="10" t="inlineStr">
        <is>
          <t>South Mumbai</t>
        </is>
      </c>
      <c r="H1037" s="10" t="n">
        <v>244.64</v>
      </c>
      <c r="I1037" s="10" t="n">
        <v>840</v>
      </c>
      <c r="J1037" s="10" t="n">
        <v>1080</v>
      </c>
      <c r="K1037" s="12" t="n">
        <v>928</v>
      </c>
      <c r="L1037" s="12" t="n">
        <v>0</v>
      </c>
      <c r="M1037" s="10" t="inlineStr">
        <is>
          <t>Yes</t>
        </is>
      </c>
      <c r="N1037" s="11" t="n">
        <v>0</v>
      </c>
      <c r="O1037" s="11" t="n">
        <v>0</v>
      </c>
      <c r="P1037" s="12" t="n">
        <v>0</v>
      </c>
    </row>
    <row r="1038">
      <c r="B1038" s="16" t="inlineStr">
        <is>
          <t>MUM</t>
        </is>
      </c>
      <c r="C1038" s="16" t="inlineStr">
        <is>
          <t>VEH-MUM-010</t>
        </is>
      </c>
      <c r="D1038" s="16" t="n">
        <v>9</v>
      </c>
      <c r="E1038" s="16" t="inlineStr">
        <is>
          <t>ORD-MUM-002487</t>
        </is>
      </c>
      <c r="F1038" s="16" t="inlineStr">
        <is>
          <t>MODERN_RETAIL</t>
        </is>
      </c>
      <c r="G1038" s="16" t="inlineStr">
        <is>
          <t>South Mumbai</t>
        </is>
      </c>
      <c r="H1038" s="16" t="n">
        <v>86.53</v>
      </c>
      <c r="I1038" s="16" t="n">
        <v>840</v>
      </c>
      <c r="J1038" s="16" t="n">
        <v>1080</v>
      </c>
      <c r="K1038" s="18" t="n">
        <v>947.5</v>
      </c>
      <c r="L1038" s="18" t="n">
        <v>0</v>
      </c>
      <c r="M1038" s="16" t="inlineStr">
        <is>
          <t>Yes</t>
        </is>
      </c>
      <c r="N1038" s="17" t="n">
        <v>0.297</v>
      </c>
      <c r="O1038" s="17" t="n">
        <v>0.401</v>
      </c>
      <c r="P1038" s="18" t="n">
        <v>1</v>
      </c>
    </row>
    <row r="1039">
      <c r="B1039" s="10" t="inlineStr">
        <is>
          <t>MUM</t>
        </is>
      </c>
      <c r="C1039" s="10" t="inlineStr">
        <is>
          <t>VEH-MUM-010</t>
        </is>
      </c>
      <c r="D1039" s="10" t="n">
        <v>10</v>
      </c>
      <c r="E1039" s="10" t="inlineStr">
        <is>
          <t>ORD-MUM-002333</t>
        </is>
      </c>
      <c r="F1039" s="10" t="inlineStr">
        <is>
          <t>ECOM_B2C</t>
        </is>
      </c>
      <c r="G1039" s="10" t="inlineStr">
        <is>
          <t>Thane</t>
        </is>
      </c>
      <c r="H1039" s="10" t="n">
        <v>3.21</v>
      </c>
      <c r="I1039" s="10" t="n">
        <v>900</v>
      </c>
      <c r="J1039" s="10" t="n">
        <v>1080</v>
      </c>
      <c r="K1039" s="12" t="n">
        <v>1053.3</v>
      </c>
      <c r="L1039" s="12" t="n">
        <v>0</v>
      </c>
      <c r="M1039" s="10" t="inlineStr">
        <is>
          <t>Yes</t>
        </is>
      </c>
      <c r="N1039" s="11" t="n">
        <v>29.762</v>
      </c>
      <c r="O1039" s="11" t="n">
        <v>40.179</v>
      </c>
      <c r="P1039" s="12" t="n">
        <v>92.8</v>
      </c>
    </row>
    <row r="1040">
      <c r="B1040" s="16" t="inlineStr">
        <is>
          <t>MUM</t>
        </is>
      </c>
      <c r="C1040" s="16" t="inlineStr">
        <is>
          <t>VEH-MUM-010</t>
        </is>
      </c>
      <c r="D1040" s="16" t="n">
        <v>11</v>
      </c>
      <c r="E1040" s="16" t="inlineStr">
        <is>
          <t>ORD-MUM-002346</t>
        </is>
      </c>
      <c r="F1040" s="16" t="inlineStr">
        <is>
          <t>ECOM_B2C</t>
        </is>
      </c>
      <c r="G1040" s="16" t="inlineStr">
        <is>
          <t>Thane</t>
        </is>
      </c>
      <c r="H1040" s="16" t="n">
        <v>4.91</v>
      </c>
      <c r="I1040" s="16" t="n">
        <v>1080</v>
      </c>
      <c r="J1040" s="16" t="n">
        <v>1260</v>
      </c>
      <c r="K1040" s="18" t="n">
        <v>1057.3</v>
      </c>
      <c r="L1040" s="18" t="n">
        <v>0</v>
      </c>
      <c r="M1040" s="16" t="inlineStr">
        <is>
          <t>Yes</t>
        </is>
      </c>
      <c r="N1040" s="17" t="n">
        <v>0</v>
      </c>
      <c r="O1040" s="17" t="n">
        <v>0</v>
      </c>
      <c r="P1040" s="18" t="n">
        <v>0</v>
      </c>
    </row>
    <row r="1041">
      <c r="B1041" s="10" t="inlineStr">
        <is>
          <t>MUM</t>
        </is>
      </c>
      <c r="C1041" s="10" t="inlineStr">
        <is>
          <t>VEH-MUM-010</t>
        </is>
      </c>
      <c r="D1041" s="10" t="n">
        <v>12</v>
      </c>
      <c r="E1041" s="10" t="inlineStr">
        <is>
          <t>ORD-MUM-002334</t>
        </is>
      </c>
      <c r="F1041" s="10" t="inlineStr">
        <is>
          <t>ECOM_B2C</t>
        </is>
      </c>
      <c r="G1041" s="10" t="inlineStr">
        <is>
          <t>Thane</t>
        </is>
      </c>
      <c r="H1041" s="10" t="n">
        <v>1.94</v>
      </c>
      <c r="I1041" s="10" t="n">
        <v>1080</v>
      </c>
      <c r="J1041" s="10" t="n">
        <v>1260</v>
      </c>
      <c r="K1041" s="12" t="n">
        <v>1100.2</v>
      </c>
      <c r="L1041" s="12" t="n">
        <v>0</v>
      </c>
      <c r="M1041" s="10" t="inlineStr">
        <is>
          <t>Yes</t>
        </is>
      </c>
      <c r="N1041" s="11" t="n">
        <v>2.595</v>
      </c>
      <c r="O1041" s="11" t="n">
        <v>3.503</v>
      </c>
      <c r="P1041" s="12" t="n">
        <v>16.2</v>
      </c>
    </row>
    <row r="1042">
      <c r="B1042" s="16" t="inlineStr">
        <is>
          <t>MUM</t>
        </is>
      </c>
      <c r="C1042" s="16" t="inlineStr">
        <is>
          <t>VEH-MUM-010</t>
        </is>
      </c>
      <c r="D1042" s="16" t="n">
        <v>13</v>
      </c>
      <c r="E1042" s="16" t="inlineStr">
        <is>
          <t>ORD-MUM-002252</t>
        </is>
      </c>
      <c r="F1042" s="16" t="inlineStr">
        <is>
          <t>ECOM_B2C</t>
        </is>
      </c>
      <c r="G1042" s="16" t="inlineStr">
        <is>
          <t>Thane</t>
        </is>
      </c>
      <c r="H1042" s="16" t="n">
        <v>1.73</v>
      </c>
      <c r="I1042" s="16" t="n">
        <v>1080</v>
      </c>
      <c r="J1042" s="16" t="n">
        <v>1260</v>
      </c>
      <c r="K1042" s="18" t="n">
        <v>1107.3</v>
      </c>
      <c r="L1042" s="18" t="n">
        <v>0</v>
      </c>
      <c r="M1042" s="16" t="inlineStr">
        <is>
          <t>Yes</t>
        </is>
      </c>
      <c r="N1042" s="17" t="n">
        <v>0.502</v>
      </c>
      <c r="O1042" s="17" t="n">
        <v>0.678</v>
      </c>
      <c r="P1042" s="18" t="n">
        <v>3.1</v>
      </c>
    </row>
    <row r="1043">
      <c r="B1043" s="10" t="inlineStr">
        <is>
          <t>MUM</t>
        </is>
      </c>
      <c r="C1043" s="10" t="inlineStr">
        <is>
          <t>VEH-MUM-010</t>
        </is>
      </c>
      <c r="D1043" s="10" t="n">
        <v>14</v>
      </c>
      <c r="E1043" s="10" t="inlineStr">
        <is>
          <t>ORD-MUM-002370</t>
        </is>
      </c>
      <c r="F1043" s="10" t="inlineStr">
        <is>
          <t>ECOM_B2C</t>
        </is>
      </c>
      <c r="G1043" s="10" t="inlineStr">
        <is>
          <t>Thane</t>
        </is>
      </c>
      <c r="H1043" s="10" t="n">
        <v>1.68</v>
      </c>
      <c r="I1043" s="10" t="n">
        <v>1080</v>
      </c>
      <c r="J1043" s="10" t="n">
        <v>1260</v>
      </c>
      <c r="K1043" s="12" t="n">
        <v>1111.9</v>
      </c>
      <c r="L1043" s="12" t="n">
        <v>0</v>
      </c>
      <c r="M1043" s="10" t="inlineStr">
        <is>
          <t>Yes</t>
        </is>
      </c>
      <c r="N1043" s="11" t="n">
        <v>0.099</v>
      </c>
      <c r="O1043" s="11" t="n">
        <v>0.134</v>
      </c>
      <c r="P1043" s="12" t="n">
        <v>0.6</v>
      </c>
    </row>
    <row r="1044">
      <c r="B1044" s="16" t="inlineStr">
        <is>
          <t>MUM</t>
        </is>
      </c>
      <c r="C1044" s="16" t="inlineStr">
        <is>
          <t>VEH-MUM-010</t>
        </is>
      </c>
      <c r="D1044" s="16" t="n">
        <v>15</v>
      </c>
      <c r="E1044" s="16" t="inlineStr">
        <is>
          <t>ORD-MUM-002407</t>
        </is>
      </c>
      <c r="F1044" s="16" t="inlineStr">
        <is>
          <t>ECOM_B2C</t>
        </is>
      </c>
      <c r="G1044" s="16" t="inlineStr">
        <is>
          <t>Thane</t>
        </is>
      </c>
      <c r="H1044" s="16" t="n">
        <v>0.99</v>
      </c>
      <c r="I1044" s="16" t="n">
        <v>1080</v>
      </c>
      <c r="J1044" s="16" t="n">
        <v>1260</v>
      </c>
      <c r="K1044" s="18" t="n">
        <v>1118.5</v>
      </c>
      <c r="L1044" s="18" t="n">
        <v>0</v>
      </c>
      <c r="M1044" s="16" t="inlineStr">
        <is>
          <t>Yes</t>
        </is>
      </c>
      <c r="N1044" s="17" t="n">
        <v>0.419</v>
      </c>
      <c r="O1044" s="17" t="n">
        <v>0.5659999999999999</v>
      </c>
      <c r="P1044" s="18" t="n">
        <v>2.6</v>
      </c>
    </row>
    <row r="1045">
      <c r="B1045" s="10" t="inlineStr">
        <is>
          <t>MUM</t>
        </is>
      </c>
      <c r="C1045" s="10" t="inlineStr">
        <is>
          <t>VEH-MUM-010</t>
        </is>
      </c>
      <c r="D1045" s="10" t="n">
        <v>16</v>
      </c>
      <c r="E1045" s="10" t="inlineStr">
        <is>
          <t>ORD-MUM-002266</t>
        </is>
      </c>
      <c r="F1045" s="10" t="inlineStr">
        <is>
          <t>ECOM_B2C</t>
        </is>
      </c>
      <c r="G1045" s="10" t="inlineStr">
        <is>
          <t>Thane</t>
        </is>
      </c>
      <c r="H1045" s="10" t="n">
        <v>3.17</v>
      </c>
      <c r="I1045" s="10" t="n">
        <v>1080</v>
      </c>
      <c r="J1045" s="10" t="n">
        <v>1260</v>
      </c>
      <c r="K1045" s="12" t="n">
        <v>1141.3</v>
      </c>
      <c r="L1045" s="12" t="n">
        <v>0</v>
      </c>
      <c r="M1045" s="10" t="inlineStr">
        <is>
          <t>Yes</t>
        </is>
      </c>
      <c r="N1045" s="11" t="n">
        <v>3.007</v>
      </c>
      <c r="O1045" s="11" t="n">
        <v>4.06</v>
      </c>
      <c r="P1045" s="12" t="n">
        <v>18.8</v>
      </c>
    </row>
    <row r="1046">
      <c r="B1046" s="16" t="inlineStr">
        <is>
          <t>MUM</t>
        </is>
      </c>
      <c r="C1046" s="16" t="inlineStr">
        <is>
          <t>VEH-MUM-010</t>
        </is>
      </c>
      <c r="D1046" s="16" t="n">
        <v>17</v>
      </c>
      <c r="E1046" s="16" t="inlineStr">
        <is>
          <t>ORD-MUM-002246</t>
        </is>
      </c>
      <c r="F1046" s="16" t="inlineStr">
        <is>
          <t>ECOM_B2C</t>
        </is>
      </c>
      <c r="G1046" s="16" t="inlineStr">
        <is>
          <t>Thane</t>
        </is>
      </c>
      <c r="H1046" s="16" t="n">
        <v>6.09</v>
      </c>
      <c r="I1046" s="16" t="n">
        <v>1080</v>
      </c>
      <c r="J1046" s="16" t="n">
        <v>1260</v>
      </c>
      <c r="K1046" s="18" t="n">
        <v>1145.4</v>
      </c>
      <c r="L1046" s="18" t="n">
        <v>0</v>
      </c>
      <c r="M1046" s="16" t="inlineStr">
        <is>
          <t>Yes</t>
        </is>
      </c>
      <c r="N1046" s="17" t="n">
        <v>0.024</v>
      </c>
      <c r="O1046" s="17" t="n">
        <v>0.032</v>
      </c>
      <c r="P1046" s="18" t="n">
        <v>0.1</v>
      </c>
    </row>
    <row r="1047">
      <c r="B1047" s="10" t="inlineStr">
        <is>
          <t>MUM</t>
        </is>
      </c>
      <c r="C1047" s="10" t="inlineStr">
        <is>
          <t>VEH-MUM-010</t>
        </is>
      </c>
      <c r="D1047" s="10" t="n">
        <v>18</v>
      </c>
      <c r="E1047" s="10" t="inlineStr">
        <is>
          <t>ORD-MUM-002299</t>
        </is>
      </c>
      <c r="F1047" s="10" t="inlineStr">
        <is>
          <t>ECOM_B2C</t>
        </is>
      </c>
      <c r="G1047" s="10" t="inlineStr">
        <is>
          <t>Thane</t>
        </is>
      </c>
      <c r="H1047" s="10" t="n">
        <v>3.73</v>
      </c>
      <c r="I1047" s="10" t="n">
        <v>1080</v>
      </c>
      <c r="J1047" s="10" t="n">
        <v>1260</v>
      </c>
      <c r="K1047" s="12" t="n">
        <v>1152.1</v>
      </c>
      <c r="L1047" s="12" t="n">
        <v>0</v>
      </c>
      <c r="M1047" s="10" t="inlineStr">
        <is>
          <t>Yes</t>
        </is>
      </c>
      <c r="N1047" s="11" t="n">
        <v>0.421</v>
      </c>
      <c r="O1047" s="11" t="n">
        <v>0.569</v>
      </c>
      <c r="P1047" s="12" t="n">
        <v>2.6</v>
      </c>
    </row>
    <row r="1048">
      <c r="B1048" s="16" t="inlineStr">
        <is>
          <t>MUM</t>
        </is>
      </c>
      <c r="C1048" s="16" t="inlineStr">
        <is>
          <t>VEH-MUM-010</t>
        </is>
      </c>
      <c r="D1048" s="16" t="n">
        <v>19</v>
      </c>
      <c r="E1048" s="16" t="inlineStr">
        <is>
          <t>ORD-MUM-002396</t>
        </is>
      </c>
      <c r="F1048" s="16" t="inlineStr">
        <is>
          <t>ECOM_B2C</t>
        </is>
      </c>
      <c r="G1048" s="16" t="inlineStr">
        <is>
          <t>Thane</t>
        </is>
      </c>
      <c r="H1048" s="16" t="n">
        <v>3.01</v>
      </c>
      <c r="I1048" s="16" t="n">
        <v>1080</v>
      </c>
      <c r="J1048" s="16" t="n">
        <v>1200</v>
      </c>
      <c r="K1048" s="18" t="n">
        <v>1156.1</v>
      </c>
      <c r="L1048" s="18" t="n">
        <v>0</v>
      </c>
      <c r="M1048" s="16" t="inlineStr">
        <is>
          <t>Yes</t>
        </is>
      </c>
      <c r="N1048" s="17" t="n">
        <v>0</v>
      </c>
      <c r="O1048" s="17" t="n">
        <v>0</v>
      </c>
      <c r="P1048" s="18" t="n">
        <v>0</v>
      </c>
    </row>
    <row r="1049">
      <c r="B1049" s="10" t="inlineStr">
        <is>
          <t>MUM</t>
        </is>
      </c>
      <c r="C1049" s="10" t="inlineStr">
        <is>
          <t>VEH-MUM-010</t>
        </is>
      </c>
      <c r="D1049" s="10" t="n">
        <v>20</v>
      </c>
      <c r="E1049" s="10" t="inlineStr">
        <is>
          <t>ORD-MUM-002296</t>
        </is>
      </c>
      <c r="F1049" s="10" t="inlineStr">
        <is>
          <t>ECOM_B2C</t>
        </is>
      </c>
      <c r="G1049" s="10" t="inlineStr">
        <is>
          <t>Thane</t>
        </is>
      </c>
      <c r="H1049" s="10" t="n">
        <v>2.23</v>
      </c>
      <c r="I1049" s="10" t="n">
        <v>1080</v>
      </c>
      <c r="J1049" s="10" t="n">
        <v>1260</v>
      </c>
      <c r="K1049" s="12" t="n">
        <v>1171</v>
      </c>
      <c r="L1049" s="12" t="n">
        <v>0</v>
      </c>
      <c r="M1049" s="10" t="inlineStr">
        <is>
          <t>Yes</t>
        </is>
      </c>
      <c r="N1049" s="11" t="n">
        <v>1.751</v>
      </c>
      <c r="O1049" s="11" t="n">
        <v>2.364</v>
      </c>
      <c r="P1049" s="12" t="n">
        <v>10.9</v>
      </c>
    </row>
    <row r="1050">
      <c r="B1050" s="16" t="inlineStr">
        <is>
          <t>MUM</t>
        </is>
      </c>
      <c r="C1050" s="16" t="inlineStr">
        <is>
          <t>VEH-MUM-010</t>
        </is>
      </c>
      <c r="D1050" s="16" t="n">
        <v>21</v>
      </c>
      <c r="E1050" s="16" t="inlineStr">
        <is>
          <t>ORD-MUM-002311</t>
        </is>
      </c>
      <c r="F1050" s="16" t="inlineStr">
        <is>
          <t>ECOM_B2C</t>
        </is>
      </c>
      <c r="G1050" s="16" t="inlineStr">
        <is>
          <t>Thane</t>
        </is>
      </c>
      <c r="H1050" s="16" t="n">
        <v>1.52</v>
      </c>
      <c r="I1050" s="16" t="n">
        <v>1080</v>
      </c>
      <c r="J1050" s="16" t="n">
        <v>1260</v>
      </c>
      <c r="K1050" s="18" t="n">
        <v>1182.8</v>
      </c>
      <c r="L1050" s="18" t="n">
        <v>0</v>
      </c>
      <c r="M1050" s="16" t="inlineStr">
        <is>
          <t>Yes</t>
        </is>
      </c>
      <c r="N1050" s="17" t="n">
        <v>1.253</v>
      </c>
      <c r="O1050" s="17" t="n">
        <v>1.692</v>
      </c>
      <c r="P1050" s="18" t="n">
        <v>7.8</v>
      </c>
    </row>
    <row r="1051">
      <c r="B1051" s="10" t="inlineStr">
        <is>
          <t>MUM</t>
        </is>
      </c>
      <c r="C1051" s="10" t="inlineStr">
        <is>
          <t>VEH-MUM-010</t>
        </is>
      </c>
      <c r="D1051" s="10" t="n">
        <v>22</v>
      </c>
      <c r="E1051" s="10" t="inlineStr">
        <is>
          <t>ORD-MUM-002312</t>
        </is>
      </c>
      <c r="F1051" s="10" t="inlineStr">
        <is>
          <t>ECOM_B2C</t>
        </is>
      </c>
      <c r="G1051" s="10" t="inlineStr">
        <is>
          <t>Thane</t>
        </is>
      </c>
      <c r="H1051" s="10" t="n">
        <v>2.55</v>
      </c>
      <c r="I1051" s="10" t="n">
        <v>1080</v>
      </c>
      <c r="J1051" s="10" t="n">
        <v>1260</v>
      </c>
      <c r="K1051" s="12" t="n">
        <v>1193.6</v>
      </c>
      <c r="L1051" s="12" t="n">
        <v>0</v>
      </c>
      <c r="M1051" s="10" t="inlineStr">
        <is>
          <t>Yes</t>
        </is>
      </c>
      <c r="N1051" s="11" t="n">
        <v>1.081</v>
      </c>
      <c r="O1051" s="11" t="n">
        <v>1.459</v>
      </c>
      <c r="P1051" s="12" t="n">
        <v>6.7</v>
      </c>
    </row>
    <row r="1052">
      <c r="B1052" s="16" t="inlineStr">
        <is>
          <t>MUM</t>
        </is>
      </c>
      <c r="C1052" s="16" t="inlineStr">
        <is>
          <t>VEH-MUM-012</t>
        </is>
      </c>
      <c r="D1052" s="16" t="n">
        <v>1</v>
      </c>
      <c r="E1052" s="16" t="inlineStr">
        <is>
          <t>ORD-MUM-002261</t>
        </is>
      </c>
      <c r="F1052" s="16" t="inlineStr">
        <is>
          <t>ECOM_B2C</t>
        </is>
      </c>
      <c r="G1052" s="16" t="inlineStr">
        <is>
          <t>Andheri</t>
        </is>
      </c>
      <c r="H1052" s="16" t="n">
        <v>1.04</v>
      </c>
      <c r="I1052" s="16" t="n">
        <v>600</v>
      </c>
      <c r="J1052" s="16" t="n">
        <v>720</v>
      </c>
      <c r="K1052" s="18" t="n">
        <v>600</v>
      </c>
      <c r="L1052" s="18" t="n">
        <v>0</v>
      </c>
      <c r="M1052" s="16" t="inlineStr">
        <is>
          <t>Yes</t>
        </is>
      </c>
      <c r="N1052" s="17" t="n">
        <v>0.289</v>
      </c>
      <c r="O1052" s="17" t="n">
        <v>0.391</v>
      </c>
      <c r="P1052" s="18" t="n">
        <v>1.5</v>
      </c>
    </row>
    <row r="1053">
      <c r="B1053" s="10" t="inlineStr">
        <is>
          <t>MUM</t>
        </is>
      </c>
      <c r="C1053" s="10" t="inlineStr">
        <is>
          <t>VEH-MUM-012</t>
        </is>
      </c>
      <c r="D1053" s="10" t="n">
        <v>2</v>
      </c>
      <c r="E1053" s="10" t="inlineStr">
        <is>
          <t>ORD-MUM-002377</t>
        </is>
      </c>
      <c r="F1053" s="10" t="inlineStr">
        <is>
          <t>ECOM_B2C</t>
        </is>
      </c>
      <c r="G1053" s="10" t="inlineStr">
        <is>
          <t>Andheri</t>
        </is>
      </c>
      <c r="H1053" s="10" t="n">
        <v>3.3</v>
      </c>
      <c r="I1053" s="10" t="n">
        <v>540</v>
      </c>
      <c r="J1053" s="10" t="n">
        <v>720</v>
      </c>
      <c r="K1053" s="12" t="n">
        <v>604</v>
      </c>
      <c r="L1053" s="12" t="n">
        <v>0</v>
      </c>
      <c r="M1053" s="10" t="inlineStr">
        <is>
          <t>Yes</t>
        </is>
      </c>
      <c r="N1053" s="11" t="n">
        <v>0</v>
      </c>
      <c r="O1053" s="11" t="n">
        <v>0</v>
      </c>
      <c r="P1053" s="12" t="n">
        <v>0</v>
      </c>
    </row>
    <row r="1054">
      <c r="B1054" s="16" t="inlineStr">
        <is>
          <t>MUM</t>
        </is>
      </c>
      <c r="C1054" s="16" t="inlineStr">
        <is>
          <t>VEH-MUM-012</t>
        </is>
      </c>
      <c r="D1054" s="16" t="n">
        <v>3</v>
      </c>
      <c r="E1054" s="16" t="inlineStr">
        <is>
          <t>ORD-MUM-002245</t>
        </is>
      </c>
      <c r="F1054" s="16" t="inlineStr">
        <is>
          <t>ECOM_B2C</t>
        </is>
      </c>
      <c r="G1054" s="16" t="inlineStr">
        <is>
          <t>Andheri</t>
        </is>
      </c>
      <c r="H1054" s="16" t="n">
        <v>1.89</v>
      </c>
      <c r="I1054" s="16" t="n">
        <v>600</v>
      </c>
      <c r="J1054" s="16" t="n">
        <v>720</v>
      </c>
      <c r="K1054" s="18" t="n">
        <v>608</v>
      </c>
      <c r="L1054" s="18" t="n">
        <v>0</v>
      </c>
      <c r="M1054" s="16" t="inlineStr">
        <is>
          <t>Yes</t>
        </is>
      </c>
      <c r="N1054" s="17" t="n">
        <v>0</v>
      </c>
      <c r="O1054" s="17" t="n">
        <v>0</v>
      </c>
      <c r="P1054" s="18" t="n">
        <v>0</v>
      </c>
    </row>
    <row r="1055">
      <c r="B1055" s="10" t="inlineStr">
        <is>
          <t>MUM</t>
        </is>
      </c>
      <c r="C1055" s="10" t="inlineStr">
        <is>
          <t>VEH-MUM-012</t>
        </is>
      </c>
      <c r="D1055" s="10" t="n">
        <v>4</v>
      </c>
      <c r="E1055" s="10" t="inlineStr">
        <is>
          <t>ORD-MUM-002319</t>
        </is>
      </c>
      <c r="F1055" s="10" t="inlineStr">
        <is>
          <t>ECOM_B2C</t>
        </is>
      </c>
      <c r="G1055" s="10" t="inlineStr">
        <is>
          <t>Bandra</t>
        </is>
      </c>
      <c r="H1055" s="10" t="n">
        <v>2.97</v>
      </c>
      <c r="I1055" s="10" t="n">
        <v>600</v>
      </c>
      <c r="J1055" s="10" t="n">
        <v>720</v>
      </c>
      <c r="K1055" s="12" t="n">
        <v>638.4</v>
      </c>
      <c r="L1055" s="12" t="n">
        <v>0</v>
      </c>
      <c r="M1055" s="10" t="inlineStr">
        <is>
          <t>Yes</t>
        </is>
      </c>
      <c r="N1055" s="11" t="n">
        <v>5.112</v>
      </c>
      <c r="O1055" s="11" t="n">
        <v>6.901</v>
      </c>
      <c r="P1055" s="12" t="n">
        <v>26.4</v>
      </c>
    </row>
    <row r="1056">
      <c r="B1056" s="16" t="inlineStr">
        <is>
          <t>MUM</t>
        </is>
      </c>
      <c r="C1056" s="16" t="inlineStr">
        <is>
          <t>VEH-MUM-012</t>
        </is>
      </c>
      <c r="D1056" s="16" t="n">
        <v>5</v>
      </c>
      <c r="E1056" s="16" t="inlineStr">
        <is>
          <t>ORD-MUM-002304</t>
        </is>
      </c>
      <c r="F1056" s="16" t="inlineStr">
        <is>
          <t>ECOM_B2C</t>
        </is>
      </c>
      <c r="G1056" s="16" t="inlineStr">
        <is>
          <t>Bandra</t>
        </is>
      </c>
      <c r="H1056" s="16" t="n">
        <v>2.1</v>
      </c>
      <c r="I1056" s="16" t="n">
        <v>600</v>
      </c>
      <c r="J1056" s="16" t="n">
        <v>720</v>
      </c>
      <c r="K1056" s="18" t="n">
        <v>643.2</v>
      </c>
      <c r="L1056" s="18" t="n">
        <v>0</v>
      </c>
      <c r="M1056" s="16" t="inlineStr">
        <is>
          <t>Yes</t>
        </is>
      </c>
      <c r="N1056" s="17" t="n">
        <v>0.167</v>
      </c>
      <c r="O1056" s="17" t="n">
        <v>0.226</v>
      </c>
      <c r="P1056" s="18" t="n">
        <v>0.9</v>
      </c>
    </row>
    <row r="1057">
      <c r="B1057" s="10" t="inlineStr">
        <is>
          <t>MUM</t>
        </is>
      </c>
      <c r="C1057" s="10" t="inlineStr">
        <is>
          <t>VEH-MUM-012</t>
        </is>
      </c>
      <c r="D1057" s="10" t="n">
        <v>6</v>
      </c>
      <c r="E1057" s="10" t="inlineStr">
        <is>
          <t>ORD-MUM-002310</t>
        </is>
      </c>
      <c r="F1057" s="10" t="inlineStr">
        <is>
          <t>ECOM_B2C</t>
        </is>
      </c>
      <c r="G1057" s="10" t="inlineStr">
        <is>
          <t>Bandra</t>
        </is>
      </c>
      <c r="H1057" s="10" t="n">
        <v>3.5</v>
      </c>
      <c r="I1057" s="10" t="n">
        <v>600</v>
      </c>
      <c r="J1057" s="10" t="n">
        <v>720</v>
      </c>
      <c r="K1057" s="12" t="n">
        <v>652.4</v>
      </c>
      <c r="L1057" s="12" t="n">
        <v>0</v>
      </c>
      <c r="M1057" s="10" t="inlineStr">
        <is>
          <t>Yes</t>
        </is>
      </c>
      <c r="N1057" s="11" t="n">
        <v>1.01</v>
      </c>
      <c r="O1057" s="11" t="n">
        <v>1.363</v>
      </c>
      <c r="P1057" s="12" t="n">
        <v>5.2</v>
      </c>
    </row>
    <row r="1058">
      <c r="B1058" s="16" t="inlineStr">
        <is>
          <t>MUM</t>
        </is>
      </c>
      <c r="C1058" s="16" t="inlineStr">
        <is>
          <t>VEH-MUM-012</t>
        </is>
      </c>
      <c r="D1058" s="16" t="n">
        <v>7</v>
      </c>
      <c r="E1058" s="16" t="inlineStr">
        <is>
          <t>ORD-MUM-002371</t>
        </is>
      </c>
      <c r="F1058" s="16" t="inlineStr">
        <is>
          <t>ECOM_B2C</t>
        </is>
      </c>
      <c r="G1058" s="16" t="inlineStr">
        <is>
          <t>Bandra</t>
        </is>
      </c>
      <c r="H1058" s="16" t="n">
        <v>0.57</v>
      </c>
      <c r="I1058" s="16" t="n">
        <v>540</v>
      </c>
      <c r="J1058" s="16" t="n">
        <v>720</v>
      </c>
      <c r="K1058" s="18" t="n">
        <v>658.9</v>
      </c>
      <c r="L1058" s="18" t="n">
        <v>0</v>
      </c>
      <c r="M1058" s="16" t="inlineStr">
        <is>
          <t>Yes</t>
        </is>
      </c>
      <c r="N1058" s="17" t="n">
        <v>0.476</v>
      </c>
      <c r="O1058" s="17" t="n">
        <v>0.643</v>
      </c>
      <c r="P1058" s="18" t="n">
        <v>2.5</v>
      </c>
    </row>
    <row r="1059">
      <c r="B1059" s="10" t="inlineStr">
        <is>
          <t>MUM</t>
        </is>
      </c>
      <c r="C1059" s="10" t="inlineStr">
        <is>
          <t>VEH-MUM-012</t>
        </is>
      </c>
      <c r="D1059" s="10" t="n">
        <v>8</v>
      </c>
      <c r="E1059" s="10" t="inlineStr">
        <is>
          <t>ORD-MUM-002372</t>
        </is>
      </c>
      <c r="F1059" s="10" t="inlineStr">
        <is>
          <t>ECOM_B2C</t>
        </is>
      </c>
      <c r="G1059" s="10" t="inlineStr">
        <is>
          <t>Bandra</t>
        </is>
      </c>
      <c r="H1059" s="10" t="n">
        <v>1.47</v>
      </c>
      <c r="I1059" s="10" t="n">
        <v>540</v>
      </c>
      <c r="J1059" s="10" t="n">
        <v>720</v>
      </c>
      <c r="K1059" s="12" t="n">
        <v>664.4</v>
      </c>
      <c r="L1059" s="12" t="n">
        <v>0</v>
      </c>
      <c r="M1059" s="10" t="inlineStr">
        <is>
          <t>Yes</t>
        </is>
      </c>
      <c r="N1059" s="11" t="n">
        <v>0.462</v>
      </c>
      <c r="O1059" s="11" t="n">
        <v>0.623</v>
      </c>
      <c r="P1059" s="12" t="n">
        <v>1.5</v>
      </c>
    </row>
    <row r="1060">
      <c r="B1060" s="16" t="inlineStr">
        <is>
          <t>MUM</t>
        </is>
      </c>
      <c r="C1060" s="16" t="inlineStr">
        <is>
          <t>VEH-MUM-012</t>
        </is>
      </c>
      <c r="D1060" s="16" t="n">
        <v>9</v>
      </c>
      <c r="E1060" s="16" t="inlineStr">
        <is>
          <t>ORD-MUM-002293</t>
        </is>
      </c>
      <c r="F1060" s="16" t="inlineStr">
        <is>
          <t>ECOM_B2C</t>
        </is>
      </c>
      <c r="G1060" s="16" t="inlineStr">
        <is>
          <t>Bandra</t>
        </is>
      </c>
      <c r="H1060" s="16" t="n">
        <v>1.1</v>
      </c>
      <c r="I1060" s="16" t="n">
        <v>540</v>
      </c>
      <c r="J1060" s="16" t="n">
        <v>720</v>
      </c>
      <c r="K1060" s="18" t="n">
        <v>669.6</v>
      </c>
      <c r="L1060" s="18" t="n">
        <v>0</v>
      </c>
      <c r="M1060" s="16" t="inlineStr">
        <is>
          <t>Yes</t>
        </is>
      </c>
      <c r="N1060" s="17" t="n">
        <v>0.396</v>
      </c>
      <c r="O1060" s="17" t="n">
        <v>0.535</v>
      </c>
      <c r="P1060" s="18" t="n">
        <v>1.2</v>
      </c>
    </row>
    <row r="1061">
      <c r="B1061" s="10" t="inlineStr">
        <is>
          <t>MUM</t>
        </is>
      </c>
      <c r="C1061" s="10" t="inlineStr">
        <is>
          <t>VEH-MUM-012</t>
        </is>
      </c>
      <c r="D1061" s="10" t="n">
        <v>10</v>
      </c>
      <c r="E1061" s="10" t="inlineStr">
        <is>
          <t>ORD-MUM-002269</t>
        </is>
      </c>
      <c r="F1061" s="10" t="inlineStr">
        <is>
          <t>ECOM_B2C</t>
        </is>
      </c>
      <c r="G1061" s="10" t="inlineStr">
        <is>
          <t>Bandra</t>
        </is>
      </c>
      <c r="H1061" s="10" t="n">
        <v>1.9</v>
      </c>
      <c r="I1061" s="10" t="n">
        <v>720</v>
      </c>
      <c r="J1061" s="10" t="n">
        <v>900</v>
      </c>
      <c r="K1061" s="12" t="n">
        <v>676.9</v>
      </c>
      <c r="L1061" s="12" t="n">
        <v>0</v>
      </c>
      <c r="M1061" s="10" t="inlineStr">
        <is>
          <t>Yes</t>
        </is>
      </c>
      <c r="N1061" s="11" t="n">
        <v>1.038</v>
      </c>
      <c r="O1061" s="11" t="n">
        <v>1.402</v>
      </c>
      <c r="P1061" s="12" t="n">
        <v>3.3</v>
      </c>
    </row>
    <row r="1062">
      <c r="B1062" s="16" t="inlineStr">
        <is>
          <t>MUM</t>
        </is>
      </c>
      <c r="C1062" s="16" t="inlineStr">
        <is>
          <t>VEH-MUM-012</t>
        </is>
      </c>
      <c r="D1062" s="16" t="n">
        <v>11</v>
      </c>
      <c r="E1062" s="16" t="inlineStr">
        <is>
          <t>ORD-MUM-002258</t>
        </is>
      </c>
      <c r="F1062" s="16" t="inlineStr">
        <is>
          <t>ECOM_B2C</t>
        </is>
      </c>
      <c r="G1062" s="16" t="inlineStr">
        <is>
          <t>Andheri</t>
        </is>
      </c>
      <c r="H1062" s="16" t="n">
        <v>2.09</v>
      </c>
      <c r="I1062" s="16" t="n">
        <v>720</v>
      </c>
      <c r="J1062" s="16" t="n">
        <v>900</v>
      </c>
      <c r="K1062" s="18" t="n">
        <v>736.9</v>
      </c>
      <c r="L1062" s="18" t="n">
        <v>0</v>
      </c>
      <c r="M1062" s="16" t="inlineStr">
        <is>
          <t>Yes</t>
        </is>
      </c>
      <c r="N1062" s="17" t="n">
        <v>4.089</v>
      </c>
      <c r="O1062" s="17" t="n">
        <v>5.52</v>
      </c>
      <c r="P1062" s="18" t="n">
        <v>12.9</v>
      </c>
    </row>
    <row r="1063">
      <c r="B1063" s="10" t="inlineStr">
        <is>
          <t>MUM</t>
        </is>
      </c>
      <c r="C1063" s="10" t="inlineStr">
        <is>
          <t>VEH-MUM-012</t>
        </is>
      </c>
      <c r="D1063" s="10" t="n">
        <v>12</v>
      </c>
      <c r="E1063" s="10" t="inlineStr">
        <is>
          <t>ORD-MUM-002308</t>
        </is>
      </c>
      <c r="F1063" s="10" t="inlineStr">
        <is>
          <t>ECOM_B2C</t>
        </is>
      </c>
      <c r="G1063" s="10" t="inlineStr">
        <is>
          <t>Andheri</t>
        </is>
      </c>
      <c r="H1063" s="10" t="n">
        <v>0.78</v>
      </c>
      <c r="I1063" s="10" t="n">
        <v>720</v>
      </c>
      <c r="J1063" s="10" t="n">
        <v>900</v>
      </c>
      <c r="K1063" s="12" t="n">
        <v>746.8</v>
      </c>
      <c r="L1063" s="12" t="n">
        <v>0</v>
      </c>
      <c r="M1063" s="10" t="inlineStr">
        <is>
          <t>Yes</t>
        </is>
      </c>
      <c r="N1063" s="11" t="n">
        <v>1.873</v>
      </c>
      <c r="O1063" s="11" t="n">
        <v>2.528</v>
      </c>
      <c r="P1063" s="12" t="n">
        <v>5.9</v>
      </c>
    </row>
    <row r="1064">
      <c r="B1064" s="16" t="inlineStr">
        <is>
          <t>MUM</t>
        </is>
      </c>
      <c r="C1064" s="16" t="inlineStr">
        <is>
          <t>VEH-MUM-012</t>
        </is>
      </c>
      <c r="D1064" s="16" t="n">
        <v>13</v>
      </c>
      <c r="E1064" s="16" t="inlineStr">
        <is>
          <t>ORD-MUM-002243</t>
        </is>
      </c>
      <c r="F1064" s="16" t="inlineStr">
        <is>
          <t>ECOM_B2C</t>
        </is>
      </c>
      <c r="G1064" s="16" t="inlineStr">
        <is>
          <t>Andheri</t>
        </is>
      </c>
      <c r="H1064" s="16" t="n">
        <v>11.26</v>
      </c>
      <c r="I1064" s="16" t="n">
        <v>720</v>
      </c>
      <c r="J1064" s="16" t="n">
        <v>900</v>
      </c>
      <c r="K1064" s="18" t="n">
        <v>751.3</v>
      </c>
      <c r="L1064" s="18" t="n">
        <v>0</v>
      </c>
      <c r="M1064" s="16" t="inlineStr">
        <is>
          <t>Yes</t>
        </is>
      </c>
      <c r="N1064" s="17" t="n">
        <v>0.157</v>
      </c>
      <c r="O1064" s="17" t="n">
        <v>0.211</v>
      </c>
      <c r="P1064" s="18" t="n">
        <v>0.5</v>
      </c>
    </row>
    <row r="1065">
      <c r="B1065" s="10" t="inlineStr">
        <is>
          <t>MUM</t>
        </is>
      </c>
      <c r="C1065" s="10" t="inlineStr">
        <is>
          <t>VEH-MUM-012</t>
        </is>
      </c>
      <c r="D1065" s="10" t="n">
        <v>14</v>
      </c>
      <c r="E1065" s="10" t="inlineStr">
        <is>
          <t>ORD-MUM-002339</t>
        </is>
      </c>
      <c r="F1065" s="10" t="inlineStr">
        <is>
          <t>ECOM_B2C</t>
        </is>
      </c>
      <c r="G1065" s="10" t="inlineStr">
        <is>
          <t>Andheri</t>
        </is>
      </c>
      <c r="H1065" s="10" t="n">
        <v>5.44</v>
      </c>
      <c r="I1065" s="10" t="n">
        <v>720</v>
      </c>
      <c r="J1065" s="10" t="n">
        <v>900</v>
      </c>
      <c r="K1065" s="12" t="n">
        <v>756</v>
      </c>
      <c r="L1065" s="12" t="n">
        <v>0</v>
      </c>
      <c r="M1065" s="10" t="inlineStr">
        <is>
          <t>Yes</t>
        </is>
      </c>
      <c r="N1065" s="11" t="n">
        <v>0.23</v>
      </c>
      <c r="O1065" s="11" t="n">
        <v>0.311</v>
      </c>
      <c r="P1065" s="12" t="n">
        <v>0.7</v>
      </c>
    </row>
    <row r="1066">
      <c r="B1066" s="16" t="inlineStr">
        <is>
          <t>MUM</t>
        </is>
      </c>
      <c r="C1066" s="16" t="inlineStr">
        <is>
          <t>VEH-MUM-012</t>
        </is>
      </c>
      <c r="D1066" s="16" t="n">
        <v>15</v>
      </c>
      <c r="E1066" s="16" t="inlineStr">
        <is>
          <t>ORD-MUM-002340</t>
        </is>
      </c>
      <c r="F1066" s="16" t="inlineStr">
        <is>
          <t>ECOM_B2C</t>
        </is>
      </c>
      <c r="G1066" s="16" t="inlineStr">
        <is>
          <t>Andheri</t>
        </is>
      </c>
      <c r="H1066" s="16" t="n">
        <v>5.63</v>
      </c>
      <c r="I1066" s="16" t="n">
        <v>720</v>
      </c>
      <c r="J1066" s="16" t="n">
        <v>900</v>
      </c>
      <c r="K1066" s="18" t="n">
        <v>761.5</v>
      </c>
      <c r="L1066" s="18" t="n">
        <v>0</v>
      </c>
      <c r="M1066" s="16" t="inlineStr">
        <is>
          <t>Yes</t>
        </is>
      </c>
      <c r="N1066" s="17" t="n">
        <v>0.451</v>
      </c>
      <c r="O1066" s="17" t="n">
        <v>0.609</v>
      </c>
      <c r="P1066" s="18" t="n">
        <v>1.4</v>
      </c>
    </row>
    <row r="1067">
      <c r="B1067" s="10" t="inlineStr">
        <is>
          <t>MUM</t>
        </is>
      </c>
      <c r="C1067" s="10" t="inlineStr">
        <is>
          <t>VEH-MUM-012</t>
        </is>
      </c>
      <c r="D1067" s="10" t="n">
        <v>16</v>
      </c>
      <c r="E1067" s="10" t="inlineStr">
        <is>
          <t>ORD-MUM-002405</t>
        </is>
      </c>
      <c r="F1067" s="10" t="inlineStr">
        <is>
          <t>ECOM_B2C</t>
        </is>
      </c>
      <c r="G1067" s="10" t="inlineStr">
        <is>
          <t>Andheri</t>
        </is>
      </c>
      <c r="H1067" s="10" t="n">
        <v>1.85</v>
      </c>
      <c r="I1067" s="10" t="n">
        <v>720</v>
      </c>
      <c r="J1067" s="10" t="n">
        <v>900</v>
      </c>
      <c r="K1067" s="12" t="n">
        <v>767.4</v>
      </c>
      <c r="L1067" s="12" t="n">
        <v>0</v>
      </c>
      <c r="M1067" s="10" t="inlineStr">
        <is>
          <t>Yes</t>
        </is>
      </c>
      <c r="N1067" s="11" t="n">
        <v>0.603</v>
      </c>
      <c r="O1067" s="11" t="n">
        <v>0.8149999999999999</v>
      </c>
      <c r="P1067" s="12" t="n">
        <v>1.9</v>
      </c>
    </row>
    <row r="1068">
      <c r="B1068" s="16" t="inlineStr">
        <is>
          <t>MUM</t>
        </is>
      </c>
      <c r="C1068" s="16" t="inlineStr">
        <is>
          <t>VEH-MUM-012</t>
        </is>
      </c>
      <c r="D1068" s="16" t="n">
        <v>17</v>
      </c>
      <c r="E1068" s="16" t="inlineStr">
        <is>
          <t>ORD-MUM-002286</t>
        </is>
      </c>
      <c r="F1068" s="16" t="inlineStr">
        <is>
          <t>ECOM_B2C</t>
        </is>
      </c>
      <c r="G1068" s="16" t="inlineStr">
        <is>
          <t>Andheri</t>
        </is>
      </c>
      <c r="H1068" s="16" t="n">
        <v>1.1</v>
      </c>
      <c r="I1068" s="16" t="n">
        <v>720</v>
      </c>
      <c r="J1068" s="16" t="n">
        <v>900</v>
      </c>
      <c r="K1068" s="18" t="n">
        <v>773.1</v>
      </c>
      <c r="L1068" s="18" t="n">
        <v>0</v>
      </c>
      <c r="M1068" s="16" t="inlineStr">
        <is>
          <t>Yes</t>
        </is>
      </c>
      <c r="N1068" s="17" t="n">
        <v>0.5580000000000001</v>
      </c>
      <c r="O1068" s="17" t="n">
        <v>0.753</v>
      </c>
      <c r="P1068" s="18" t="n">
        <v>1.8</v>
      </c>
    </row>
    <row r="1069">
      <c r="B1069" s="10" t="inlineStr">
        <is>
          <t>MUM</t>
        </is>
      </c>
      <c r="C1069" s="10" t="inlineStr">
        <is>
          <t>VEH-MUM-012</t>
        </is>
      </c>
      <c r="D1069" s="10" t="n">
        <v>18</v>
      </c>
      <c r="E1069" s="10" t="inlineStr">
        <is>
          <t>ORD-MUM-002358</t>
        </is>
      </c>
      <c r="F1069" s="10" t="inlineStr">
        <is>
          <t>ECOM_B2C</t>
        </is>
      </c>
      <c r="G1069" s="10" t="inlineStr">
        <is>
          <t>Andheri</t>
        </is>
      </c>
      <c r="H1069" s="10" t="n">
        <v>2.53</v>
      </c>
      <c r="I1069" s="10" t="n">
        <v>720</v>
      </c>
      <c r="J1069" s="10" t="n">
        <v>900</v>
      </c>
      <c r="K1069" s="12" t="n">
        <v>789.3</v>
      </c>
      <c r="L1069" s="12" t="n">
        <v>0</v>
      </c>
      <c r="M1069" s="10" t="inlineStr">
        <is>
          <t>Yes</t>
        </is>
      </c>
      <c r="N1069" s="11" t="n">
        <v>3.867</v>
      </c>
      <c r="O1069" s="11" t="n">
        <v>5.22</v>
      </c>
      <c r="P1069" s="12" t="n">
        <v>12.2</v>
      </c>
    </row>
    <row r="1070">
      <c r="B1070" s="16" t="inlineStr">
        <is>
          <t>MUM</t>
        </is>
      </c>
      <c r="C1070" s="16" t="inlineStr">
        <is>
          <t>VEH-MUM-012</t>
        </is>
      </c>
      <c r="D1070" s="16" t="n">
        <v>19</v>
      </c>
      <c r="E1070" s="16" t="inlineStr">
        <is>
          <t>ORD-MUM-002274</t>
        </is>
      </c>
      <c r="F1070" s="16" t="inlineStr">
        <is>
          <t>ECOM_B2C</t>
        </is>
      </c>
      <c r="G1070" s="16" t="inlineStr">
        <is>
          <t>Andheri</t>
        </is>
      </c>
      <c r="H1070" s="16" t="n">
        <v>9.06</v>
      </c>
      <c r="I1070" s="16" t="n">
        <v>840</v>
      </c>
      <c r="J1070" s="16" t="n">
        <v>960</v>
      </c>
      <c r="K1070" s="18" t="n">
        <v>800.3</v>
      </c>
      <c r="L1070" s="18" t="n">
        <v>0</v>
      </c>
      <c r="M1070" s="16" t="inlineStr">
        <is>
          <t>Yes</t>
        </is>
      </c>
      <c r="N1070" s="17" t="n">
        <v>2.213</v>
      </c>
      <c r="O1070" s="17" t="n">
        <v>2.988</v>
      </c>
      <c r="P1070" s="18" t="n">
        <v>7</v>
      </c>
    </row>
    <row r="1071">
      <c r="B1071" s="10" t="inlineStr">
        <is>
          <t>MUM</t>
        </is>
      </c>
      <c r="C1071" s="10" t="inlineStr">
        <is>
          <t>VEH-MUM-012</t>
        </is>
      </c>
      <c r="D1071" s="10" t="n">
        <v>20</v>
      </c>
      <c r="E1071" s="10" t="inlineStr">
        <is>
          <t>ORD-MUM-002391</t>
        </is>
      </c>
      <c r="F1071" s="10" t="inlineStr">
        <is>
          <t>ECOM_B2C</t>
        </is>
      </c>
      <c r="G1071" s="10" t="inlineStr">
        <is>
          <t>Andheri</t>
        </is>
      </c>
      <c r="H1071" s="10" t="n">
        <v>1.05</v>
      </c>
      <c r="I1071" s="10" t="n">
        <v>840</v>
      </c>
      <c r="J1071" s="10" t="n">
        <v>960</v>
      </c>
      <c r="K1071" s="12" t="n">
        <v>845.9</v>
      </c>
      <c r="L1071" s="12" t="n">
        <v>0</v>
      </c>
      <c r="M1071" s="10" t="inlineStr">
        <is>
          <t>Yes</t>
        </is>
      </c>
      <c r="N1071" s="11" t="n">
        <v>0.588</v>
      </c>
      <c r="O1071" s="11" t="n">
        <v>0.793</v>
      </c>
      <c r="P1071" s="12" t="n">
        <v>1.9</v>
      </c>
    </row>
    <row r="1072">
      <c r="B1072" s="16" t="inlineStr">
        <is>
          <t>MUM</t>
        </is>
      </c>
      <c r="C1072" s="16" t="inlineStr">
        <is>
          <t>VEH-MUM-012</t>
        </is>
      </c>
      <c r="D1072" s="16" t="n">
        <v>21</v>
      </c>
      <c r="E1072" s="16" t="inlineStr">
        <is>
          <t>ORD-MUM-002357</t>
        </is>
      </c>
      <c r="F1072" s="16" t="inlineStr">
        <is>
          <t>ECOM_B2C</t>
        </is>
      </c>
      <c r="G1072" s="16" t="inlineStr">
        <is>
          <t>Thane</t>
        </is>
      </c>
      <c r="H1072" s="16" t="n">
        <v>3.52</v>
      </c>
      <c r="I1072" s="16" t="n">
        <v>720</v>
      </c>
      <c r="J1072" s="16" t="n">
        <v>900</v>
      </c>
      <c r="K1072" s="18" t="n">
        <v>888.5</v>
      </c>
      <c r="L1072" s="18" t="n">
        <v>0</v>
      </c>
      <c r="M1072" s="16" t="inlineStr">
        <is>
          <t>Yes</t>
        </is>
      </c>
      <c r="N1072" s="17" t="n">
        <v>12.392</v>
      </c>
      <c r="O1072" s="17" t="n">
        <v>16.73</v>
      </c>
      <c r="P1072" s="18" t="n">
        <v>38.6</v>
      </c>
    </row>
    <row r="1073">
      <c r="B1073" s="10" t="inlineStr">
        <is>
          <t>MUM</t>
        </is>
      </c>
      <c r="C1073" s="10" t="inlineStr">
        <is>
          <t>VEH-MUM-012</t>
        </is>
      </c>
      <c r="D1073" s="10" t="n">
        <v>22</v>
      </c>
      <c r="E1073" s="10" t="inlineStr">
        <is>
          <t>ORD-MUM-002367</t>
        </is>
      </c>
      <c r="F1073" s="10" t="inlineStr">
        <is>
          <t>ECOM_B2C</t>
        </is>
      </c>
      <c r="G1073" s="10" t="inlineStr">
        <is>
          <t>Thane</t>
        </is>
      </c>
      <c r="H1073" s="10" t="n">
        <v>3.29</v>
      </c>
      <c r="I1073" s="10" t="n">
        <v>840</v>
      </c>
      <c r="J1073" s="10" t="n">
        <v>960</v>
      </c>
      <c r="K1073" s="12" t="n">
        <v>893.8</v>
      </c>
      <c r="L1073" s="12" t="n">
        <v>0</v>
      </c>
      <c r="M1073" s="10" t="inlineStr">
        <is>
          <t>Yes</t>
        </is>
      </c>
      <c r="N1073" s="11" t="n">
        <v>0.415</v>
      </c>
      <c r="O1073" s="11" t="n">
        <v>0.5600000000000001</v>
      </c>
      <c r="P1073" s="12" t="n">
        <v>1.3</v>
      </c>
    </row>
    <row r="1074">
      <c r="B1074" s="16" t="inlineStr">
        <is>
          <t>MUM</t>
        </is>
      </c>
      <c r="C1074" s="16" t="inlineStr">
        <is>
          <t>VEH-MUM-012</t>
        </is>
      </c>
      <c r="D1074" s="16" t="n">
        <v>23</v>
      </c>
      <c r="E1074" s="16" t="inlineStr">
        <is>
          <t>ORD-MUM-002324</t>
        </is>
      </c>
      <c r="F1074" s="16" t="inlineStr">
        <is>
          <t>ECOM_B2C</t>
        </is>
      </c>
      <c r="G1074" s="16" t="inlineStr">
        <is>
          <t>Thane</t>
        </is>
      </c>
      <c r="H1074" s="16" t="n">
        <v>11.75</v>
      </c>
      <c r="I1074" s="16" t="n">
        <v>840</v>
      </c>
      <c r="J1074" s="16" t="n">
        <v>960</v>
      </c>
      <c r="K1074" s="18" t="n">
        <v>901.2</v>
      </c>
      <c r="L1074" s="18" t="n">
        <v>0</v>
      </c>
      <c r="M1074" s="16" t="inlineStr">
        <is>
          <t>Yes</t>
        </is>
      </c>
      <c r="N1074" s="17" t="n">
        <v>1.1</v>
      </c>
      <c r="O1074" s="17" t="n">
        <v>1.484</v>
      </c>
      <c r="P1074" s="18" t="n">
        <v>3.4</v>
      </c>
    </row>
    <row r="1075">
      <c r="B1075" s="10" t="inlineStr">
        <is>
          <t>MUM</t>
        </is>
      </c>
      <c r="C1075" s="10" t="inlineStr">
        <is>
          <t>VEH-MUM-012</t>
        </is>
      </c>
      <c r="D1075" s="10" t="n">
        <v>24</v>
      </c>
      <c r="E1075" s="10" t="inlineStr">
        <is>
          <t>ORD-MUM-002406</t>
        </is>
      </c>
      <c r="F1075" s="10" t="inlineStr">
        <is>
          <t>ECOM_B2C</t>
        </is>
      </c>
      <c r="G1075" s="10" t="inlineStr">
        <is>
          <t>Andheri</t>
        </is>
      </c>
      <c r="H1075" s="10" t="n">
        <v>2.79</v>
      </c>
      <c r="I1075" s="10" t="n">
        <v>840</v>
      </c>
      <c r="J1075" s="10" t="n">
        <v>960</v>
      </c>
      <c r="K1075" s="12" t="n">
        <v>947.6</v>
      </c>
      <c r="L1075" s="12" t="n">
        <v>0</v>
      </c>
      <c r="M1075" s="10" t="inlineStr">
        <is>
          <t>Yes</t>
        </is>
      </c>
      <c r="N1075" s="11" t="n">
        <v>13.418</v>
      </c>
      <c r="O1075" s="11" t="n">
        <v>18.115</v>
      </c>
      <c r="P1075" s="12" t="n">
        <v>42.4</v>
      </c>
    </row>
    <row r="1076">
      <c r="B1076" s="16" t="inlineStr">
        <is>
          <t>MUM</t>
        </is>
      </c>
      <c r="C1076" s="16" t="inlineStr">
        <is>
          <t>VEH-MUM-012</t>
        </is>
      </c>
      <c r="D1076" s="16" t="n">
        <v>25</v>
      </c>
      <c r="E1076" s="16" t="inlineStr">
        <is>
          <t>ORD-MUM-002395</t>
        </is>
      </c>
      <c r="F1076" s="16" t="inlineStr">
        <is>
          <t>ECOM_B2C</t>
        </is>
      </c>
      <c r="G1076" s="16" t="inlineStr">
        <is>
          <t>Andheri</t>
        </is>
      </c>
      <c r="H1076" s="16" t="n">
        <v>5.36</v>
      </c>
      <c r="I1076" s="16" t="n">
        <v>900</v>
      </c>
      <c r="J1076" s="16" t="n">
        <v>1080</v>
      </c>
      <c r="K1076" s="18" t="n">
        <v>953.8</v>
      </c>
      <c r="L1076" s="18" t="n">
        <v>0</v>
      </c>
      <c r="M1076" s="16" t="inlineStr">
        <is>
          <t>Yes</t>
        </is>
      </c>
      <c r="N1076" s="17" t="n">
        <v>0.702</v>
      </c>
      <c r="O1076" s="17" t="n">
        <v>0.947</v>
      </c>
      <c r="P1076" s="18" t="n">
        <v>2.2</v>
      </c>
    </row>
    <row r="1077">
      <c r="B1077" s="10" t="inlineStr">
        <is>
          <t>MUM</t>
        </is>
      </c>
      <c r="C1077" s="10" t="inlineStr">
        <is>
          <t>VEH-MUM-012</t>
        </is>
      </c>
      <c r="D1077" s="10" t="n">
        <v>26</v>
      </c>
      <c r="E1077" s="10" t="inlineStr">
        <is>
          <t>ORD-MUM-002314</t>
        </is>
      </c>
      <c r="F1077" s="10" t="inlineStr">
        <is>
          <t>ECOM_B2C</t>
        </is>
      </c>
      <c r="G1077" s="10" t="inlineStr">
        <is>
          <t>Andheri</t>
        </is>
      </c>
      <c r="H1077" s="10" t="n">
        <v>0.7</v>
      </c>
      <c r="I1077" s="10" t="n">
        <v>900</v>
      </c>
      <c r="J1077" s="10" t="n">
        <v>1080</v>
      </c>
      <c r="K1077" s="12" t="n">
        <v>964.1</v>
      </c>
      <c r="L1077" s="12" t="n">
        <v>0</v>
      </c>
      <c r="M1077" s="10" t="inlineStr">
        <is>
          <t>Yes</t>
        </is>
      </c>
      <c r="N1077" s="11" t="n">
        <v>1.995</v>
      </c>
      <c r="O1077" s="11" t="n">
        <v>2.693</v>
      </c>
      <c r="P1077" s="12" t="n">
        <v>6.3</v>
      </c>
    </row>
    <row r="1078">
      <c r="B1078" s="16" t="inlineStr">
        <is>
          <t>MUM</t>
        </is>
      </c>
      <c r="C1078" s="16" t="inlineStr">
        <is>
          <t>VEH-MUM-012</t>
        </is>
      </c>
      <c r="D1078" s="16" t="n">
        <v>27</v>
      </c>
      <c r="E1078" s="16" t="inlineStr">
        <is>
          <t>ORD-MUM-002302</t>
        </is>
      </c>
      <c r="F1078" s="16" t="inlineStr">
        <is>
          <t>ECOM_B2C</t>
        </is>
      </c>
      <c r="G1078" s="16" t="inlineStr">
        <is>
          <t>Andheri</t>
        </is>
      </c>
      <c r="H1078" s="16" t="n">
        <v>1.66</v>
      </c>
      <c r="I1078" s="16" t="n">
        <v>900</v>
      </c>
      <c r="J1078" s="16" t="n">
        <v>1080</v>
      </c>
      <c r="K1078" s="18" t="n">
        <v>973.4</v>
      </c>
      <c r="L1078" s="18" t="n">
        <v>0</v>
      </c>
      <c r="M1078" s="16" t="inlineStr">
        <is>
          <t>Yes</t>
        </is>
      </c>
      <c r="N1078" s="17" t="n">
        <v>1.673</v>
      </c>
      <c r="O1078" s="17" t="n">
        <v>2.258</v>
      </c>
      <c r="P1078" s="18" t="n">
        <v>5.3</v>
      </c>
    </row>
    <row r="1079">
      <c r="B1079" s="10" t="inlineStr">
        <is>
          <t>MUM</t>
        </is>
      </c>
      <c r="C1079" s="10" t="inlineStr">
        <is>
          <t>VEH-MUM-012</t>
        </is>
      </c>
      <c r="D1079" s="10" t="n">
        <v>28</v>
      </c>
      <c r="E1079" s="10" t="inlineStr">
        <is>
          <t>ORD-MUM-002326</t>
        </is>
      </c>
      <c r="F1079" s="10" t="inlineStr">
        <is>
          <t>ECOM_B2C</t>
        </is>
      </c>
      <c r="G1079" s="10" t="inlineStr">
        <is>
          <t>Andheri</t>
        </is>
      </c>
      <c r="H1079" s="10" t="n">
        <v>5.22</v>
      </c>
      <c r="I1079" s="10" t="n">
        <v>900</v>
      </c>
      <c r="J1079" s="10" t="n">
        <v>1080</v>
      </c>
      <c r="K1079" s="12" t="n">
        <v>985.6</v>
      </c>
      <c r="L1079" s="12" t="n">
        <v>0</v>
      </c>
      <c r="M1079" s="10" t="inlineStr">
        <is>
          <t>Yes</t>
        </is>
      </c>
      <c r="N1079" s="11" t="n">
        <v>2.601</v>
      </c>
      <c r="O1079" s="11" t="n">
        <v>3.511</v>
      </c>
      <c r="P1079" s="12" t="n">
        <v>8.199999999999999</v>
      </c>
    </row>
    <row r="1080">
      <c r="B1080" s="16" t="inlineStr">
        <is>
          <t>MUM</t>
        </is>
      </c>
      <c r="C1080" s="16" t="inlineStr">
        <is>
          <t>VEH-MUM-012</t>
        </is>
      </c>
      <c r="D1080" s="16" t="n">
        <v>29</v>
      </c>
      <c r="E1080" s="16" t="inlineStr">
        <is>
          <t>ORD-MUM-002394</t>
        </is>
      </c>
      <c r="F1080" s="16" t="inlineStr">
        <is>
          <t>ECOM_B2C</t>
        </is>
      </c>
      <c r="G1080" s="16" t="inlineStr">
        <is>
          <t>Andheri</t>
        </is>
      </c>
      <c r="H1080" s="16" t="n">
        <v>1.88</v>
      </c>
      <c r="I1080" s="16" t="n">
        <v>900</v>
      </c>
      <c r="J1080" s="16" t="n">
        <v>1080</v>
      </c>
      <c r="K1080" s="18" t="n">
        <v>991.1</v>
      </c>
      <c r="L1080" s="18" t="n">
        <v>0</v>
      </c>
      <c r="M1080" s="16" t="inlineStr">
        <is>
          <t>Yes</t>
        </is>
      </c>
      <c r="N1080" s="17" t="n">
        <v>0.499</v>
      </c>
      <c r="O1080" s="17" t="n">
        <v>0.674</v>
      </c>
      <c r="P1080" s="18" t="n">
        <v>1.6</v>
      </c>
    </row>
    <row r="1081">
      <c r="B1081" s="10" t="inlineStr">
        <is>
          <t>MUM</t>
        </is>
      </c>
      <c r="C1081" s="10" t="inlineStr">
        <is>
          <t>VEH-MUM-012</t>
        </is>
      </c>
      <c r="D1081" s="10" t="n">
        <v>30</v>
      </c>
      <c r="E1081" s="10" t="inlineStr">
        <is>
          <t>ORD-MUM-002364</t>
        </is>
      </c>
      <c r="F1081" s="10" t="inlineStr">
        <is>
          <t>ECOM_B2C</t>
        </is>
      </c>
      <c r="G1081" s="10" t="inlineStr">
        <is>
          <t>Andheri</t>
        </is>
      </c>
      <c r="H1081" s="10" t="n">
        <v>5.59</v>
      </c>
      <c r="I1081" s="10" t="n">
        <v>900</v>
      </c>
      <c r="J1081" s="10" t="n">
        <v>1080</v>
      </c>
      <c r="K1081" s="12" t="n">
        <v>1000</v>
      </c>
      <c r="L1081" s="12" t="n">
        <v>0</v>
      </c>
      <c r="M1081" s="10" t="inlineStr">
        <is>
          <t>Yes</t>
        </is>
      </c>
      <c r="N1081" s="11" t="n">
        <v>1.529</v>
      </c>
      <c r="O1081" s="11" t="n">
        <v>2.064</v>
      </c>
      <c r="P1081" s="12" t="n">
        <v>4.8</v>
      </c>
    </row>
    <row r="1082">
      <c r="B1082" s="16" t="inlineStr">
        <is>
          <t>MUM</t>
        </is>
      </c>
      <c r="C1082" s="16" t="inlineStr">
        <is>
          <t>VEH-MUM-012</t>
        </is>
      </c>
      <c r="D1082" s="16" t="n">
        <v>31</v>
      </c>
      <c r="E1082" s="16" t="inlineStr">
        <is>
          <t>ORD-MUM-002254</t>
        </is>
      </c>
      <c r="F1082" s="16" t="inlineStr">
        <is>
          <t>ECOM_B2C</t>
        </is>
      </c>
      <c r="G1082" s="16" t="inlineStr">
        <is>
          <t>Andheri</t>
        </is>
      </c>
      <c r="H1082" s="16" t="n">
        <v>4.4</v>
      </c>
      <c r="I1082" s="16" t="n">
        <v>1080</v>
      </c>
      <c r="J1082" s="16" t="n">
        <v>1260</v>
      </c>
      <c r="K1082" s="18" t="n">
        <v>1006.4</v>
      </c>
      <c r="L1082" s="18" t="n">
        <v>0</v>
      </c>
      <c r="M1082" s="16" t="inlineStr">
        <is>
          <t>Yes</t>
        </is>
      </c>
      <c r="N1082" s="17" t="n">
        <v>0.776</v>
      </c>
      <c r="O1082" s="17" t="n">
        <v>1.047</v>
      </c>
      <c r="P1082" s="18" t="n">
        <v>2.4</v>
      </c>
    </row>
    <row r="1083">
      <c r="B1083" s="10" t="inlineStr">
        <is>
          <t>MUM</t>
        </is>
      </c>
      <c r="C1083" s="10" t="inlineStr">
        <is>
          <t>VEH-MUM-012</t>
        </is>
      </c>
      <c r="D1083" s="10" t="n">
        <v>32</v>
      </c>
      <c r="E1083" s="10" t="inlineStr">
        <is>
          <t>ORD-MUM-002327</t>
        </is>
      </c>
      <c r="F1083" s="10" t="inlineStr">
        <is>
          <t>ECOM_B2C</t>
        </is>
      </c>
      <c r="G1083" s="10" t="inlineStr">
        <is>
          <t>Andheri</t>
        </is>
      </c>
      <c r="H1083" s="10" t="n">
        <v>9</v>
      </c>
      <c r="I1083" s="10" t="n">
        <v>1080</v>
      </c>
      <c r="J1083" s="10" t="n">
        <v>1260</v>
      </c>
      <c r="K1083" s="12" t="n">
        <v>1093</v>
      </c>
      <c r="L1083" s="12" t="n">
        <v>0</v>
      </c>
      <c r="M1083" s="10" t="inlineStr">
        <is>
          <t>Yes</t>
        </is>
      </c>
      <c r="N1083" s="11" t="n">
        <v>1.429</v>
      </c>
      <c r="O1083" s="11" t="n">
        <v>1.929</v>
      </c>
      <c r="P1083" s="12" t="n">
        <v>9</v>
      </c>
    </row>
    <row r="1084">
      <c r="B1084" s="16" t="inlineStr">
        <is>
          <t>MUM</t>
        </is>
      </c>
      <c r="C1084" s="16" t="inlineStr">
        <is>
          <t>VEH-MUM-012</t>
        </is>
      </c>
      <c r="D1084" s="16" t="n">
        <v>33</v>
      </c>
      <c r="E1084" s="16" t="inlineStr">
        <is>
          <t>ORD-MUM-002399</t>
        </is>
      </c>
      <c r="F1084" s="16" t="inlineStr">
        <is>
          <t>ECOM_B2C</t>
        </is>
      </c>
      <c r="G1084" s="16" t="inlineStr">
        <is>
          <t>Andheri</t>
        </is>
      </c>
      <c r="H1084" s="16" t="n">
        <v>7.66</v>
      </c>
      <c r="I1084" s="16" t="n">
        <v>1080</v>
      </c>
      <c r="J1084" s="16" t="n">
        <v>1200</v>
      </c>
      <c r="K1084" s="18" t="n">
        <v>1099.5</v>
      </c>
      <c r="L1084" s="18" t="n">
        <v>0</v>
      </c>
      <c r="M1084" s="16" t="inlineStr">
        <is>
          <t>Yes</t>
        </is>
      </c>
      <c r="N1084" s="17" t="n">
        <v>0.392</v>
      </c>
      <c r="O1084" s="17" t="n">
        <v>0.529</v>
      </c>
      <c r="P1084" s="18" t="n">
        <v>2.5</v>
      </c>
    </row>
    <row r="1085">
      <c r="B1085" s="10" t="inlineStr">
        <is>
          <t>MUM</t>
        </is>
      </c>
      <c r="C1085" s="10" t="inlineStr">
        <is>
          <t>VEH-MUM-012</t>
        </is>
      </c>
      <c r="D1085" s="10" t="n">
        <v>34</v>
      </c>
      <c r="E1085" s="10" t="inlineStr">
        <is>
          <t>ORD-MUM-002307</t>
        </is>
      </c>
      <c r="F1085" s="10" t="inlineStr">
        <is>
          <t>ECOM_B2C</t>
        </is>
      </c>
      <c r="G1085" s="10" t="inlineStr">
        <is>
          <t>Andheri</t>
        </is>
      </c>
      <c r="H1085" s="10" t="n">
        <v>1.12</v>
      </c>
      <c r="I1085" s="10" t="n">
        <v>1080</v>
      </c>
      <c r="J1085" s="10" t="n">
        <v>1260</v>
      </c>
      <c r="K1085" s="12" t="n">
        <v>1114.2</v>
      </c>
      <c r="L1085" s="12" t="n">
        <v>0</v>
      </c>
      <c r="M1085" s="10" t="inlineStr">
        <is>
          <t>Yes</t>
        </is>
      </c>
      <c r="N1085" s="11" t="n">
        <v>1.689</v>
      </c>
      <c r="O1085" s="11" t="n">
        <v>2.281</v>
      </c>
      <c r="P1085" s="12" t="n">
        <v>10.7</v>
      </c>
    </row>
    <row r="1086">
      <c r="B1086" s="16" t="inlineStr">
        <is>
          <t>MUM</t>
        </is>
      </c>
      <c r="C1086" s="16" t="inlineStr">
        <is>
          <t>VEH-MUM-012</t>
        </is>
      </c>
      <c r="D1086" s="16" t="n">
        <v>35</v>
      </c>
      <c r="E1086" s="16" t="inlineStr">
        <is>
          <t>ORD-MUM-002404</t>
        </is>
      </c>
      <c r="F1086" s="16" t="inlineStr">
        <is>
          <t>ECOM_B2C</t>
        </is>
      </c>
      <c r="G1086" s="16" t="inlineStr">
        <is>
          <t>Andheri</t>
        </is>
      </c>
      <c r="H1086" s="16" t="n">
        <v>1.46</v>
      </c>
      <c r="I1086" s="16" t="n">
        <v>1080</v>
      </c>
      <c r="J1086" s="16" t="n">
        <v>1260</v>
      </c>
      <c r="K1086" s="18" t="n">
        <v>1134.4</v>
      </c>
      <c r="L1086" s="18" t="n">
        <v>0</v>
      </c>
      <c r="M1086" s="16" t="inlineStr">
        <is>
          <t>Yes</t>
        </is>
      </c>
      <c r="N1086" s="17" t="n">
        <v>2.575</v>
      </c>
      <c r="O1086" s="17" t="n">
        <v>3.476</v>
      </c>
      <c r="P1086" s="18" t="n">
        <v>16.3</v>
      </c>
    </row>
    <row r="1087">
      <c r="B1087" s="10" t="inlineStr">
        <is>
          <t>MUM</t>
        </is>
      </c>
      <c r="C1087" s="10" t="inlineStr">
        <is>
          <t>VEH-MUM-013</t>
        </is>
      </c>
      <c r="D1087" s="10" t="n">
        <v>1</v>
      </c>
      <c r="E1087" s="10" t="inlineStr">
        <is>
          <t>ORD-MUM-002265</t>
        </is>
      </c>
      <c r="F1087" s="10" t="inlineStr">
        <is>
          <t>ECOM_B2C</t>
        </is>
      </c>
      <c r="G1087" s="10" t="inlineStr">
        <is>
          <t>Andheri</t>
        </is>
      </c>
      <c r="H1087" s="10" t="n">
        <v>6.05</v>
      </c>
      <c r="I1087" s="10" t="n">
        <v>540</v>
      </c>
      <c r="J1087" s="10" t="n">
        <v>720</v>
      </c>
      <c r="K1087" s="12" t="n">
        <v>540</v>
      </c>
      <c r="L1087" s="12" t="n">
        <v>0</v>
      </c>
      <c r="M1087" s="10" t="inlineStr">
        <is>
          <t>Yes</t>
        </is>
      </c>
      <c r="N1087" s="11" t="n">
        <v>0.457</v>
      </c>
      <c r="O1087" s="11" t="n">
        <v>0.617</v>
      </c>
      <c r="P1087" s="12" t="n">
        <v>2.4</v>
      </c>
    </row>
    <row r="1088">
      <c r="B1088" s="16" t="inlineStr">
        <is>
          <t>MUM</t>
        </is>
      </c>
      <c r="C1088" s="16" t="inlineStr">
        <is>
          <t>VEH-MUM-013</t>
        </is>
      </c>
      <c r="D1088" s="16" t="n">
        <v>2</v>
      </c>
      <c r="E1088" s="16" t="inlineStr">
        <is>
          <t>ORD-MUM-002342</t>
        </is>
      </c>
      <c r="F1088" s="16" t="inlineStr">
        <is>
          <t>ECOM_B2C</t>
        </is>
      </c>
      <c r="G1088" s="16" t="inlineStr">
        <is>
          <t>Bandra</t>
        </is>
      </c>
      <c r="H1088" s="16" t="n">
        <v>2.13</v>
      </c>
      <c r="I1088" s="16" t="n">
        <v>540</v>
      </c>
      <c r="J1088" s="16" t="n">
        <v>720</v>
      </c>
      <c r="K1088" s="18" t="n">
        <v>572.6</v>
      </c>
      <c r="L1088" s="18" t="n">
        <v>0</v>
      </c>
      <c r="M1088" s="16" t="inlineStr">
        <is>
          <t>Yes</t>
        </is>
      </c>
      <c r="N1088" s="17" t="n">
        <v>5.554</v>
      </c>
      <c r="O1088" s="17" t="n">
        <v>7.497</v>
      </c>
      <c r="P1088" s="18" t="n">
        <v>28.6</v>
      </c>
    </row>
    <row r="1089">
      <c r="B1089" s="10" t="inlineStr">
        <is>
          <t>MUM</t>
        </is>
      </c>
      <c r="C1089" s="10" t="inlineStr">
        <is>
          <t>VEH-MUM-013</t>
        </is>
      </c>
      <c r="D1089" s="10" t="n">
        <v>3</v>
      </c>
      <c r="E1089" s="10" t="inlineStr">
        <is>
          <t>ORD-MUM-002390</t>
        </is>
      </c>
      <c r="F1089" s="10" t="inlineStr">
        <is>
          <t>ECOM_B2C</t>
        </is>
      </c>
      <c r="G1089" s="10" t="inlineStr">
        <is>
          <t>South Mumbai</t>
        </is>
      </c>
      <c r="H1089" s="10" t="n">
        <v>2.18</v>
      </c>
      <c r="I1089" s="10" t="n">
        <v>540</v>
      </c>
      <c r="J1089" s="10" t="n">
        <v>720</v>
      </c>
      <c r="K1089" s="12" t="n">
        <v>631.2</v>
      </c>
      <c r="L1089" s="12" t="n">
        <v>0</v>
      </c>
      <c r="M1089" s="10" t="inlineStr">
        <is>
          <t>Yes</t>
        </is>
      </c>
      <c r="N1089" s="11" t="n">
        <v>10.284</v>
      </c>
      <c r="O1089" s="11" t="n">
        <v>13.883</v>
      </c>
      <c r="P1089" s="12" t="n">
        <v>54.5</v>
      </c>
    </row>
    <row r="1090">
      <c r="B1090" s="16" t="inlineStr">
        <is>
          <t>MUM</t>
        </is>
      </c>
      <c r="C1090" s="16" t="inlineStr">
        <is>
          <t>VEH-MUM-013</t>
        </is>
      </c>
      <c r="D1090" s="16" t="n">
        <v>4</v>
      </c>
      <c r="E1090" s="16" t="inlineStr">
        <is>
          <t>ORD-MUM-002379</t>
        </is>
      </c>
      <c r="F1090" s="16" t="inlineStr">
        <is>
          <t>ECOM_B2C</t>
        </is>
      </c>
      <c r="G1090" s="16" t="inlineStr">
        <is>
          <t>South Mumbai</t>
        </is>
      </c>
      <c r="H1090" s="16" t="n">
        <v>0.55</v>
      </c>
      <c r="I1090" s="16" t="n">
        <v>540</v>
      </c>
      <c r="J1090" s="16" t="n">
        <v>720</v>
      </c>
      <c r="K1090" s="18" t="n">
        <v>640.6</v>
      </c>
      <c r="L1090" s="18" t="n">
        <v>0</v>
      </c>
      <c r="M1090" s="16" t="inlineStr">
        <is>
          <t>Yes</t>
        </is>
      </c>
      <c r="N1090" s="17" t="n">
        <v>1.022</v>
      </c>
      <c r="O1090" s="17" t="n">
        <v>1.38</v>
      </c>
      <c r="P1090" s="18" t="n">
        <v>5.4</v>
      </c>
    </row>
    <row r="1091">
      <c r="B1091" s="10" t="inlineStr">
        <is>
          <t>MUM</t>
        </is>
      </c>
      <c r="C1091" s="10" t="inlineStr">
        <is>
          <t>VEH-MUM-013</t>
        </is>
      </c>
      <c r="D1091" s="10" t="n">
        <v>5</v>
      </c>
      <c r="E1091" s="10" t="inlineStr">
        <is>
          <t>ORD-MUM-002416</t>
        </is>
      </c>
      <c r="F1091" s="10" t="inlineStr">
        <is>
          <t>ECOM_B2C</t>
        </is>
      </c>
      <c r="G1091" s="10" t="inlineStr">
        <is>
          <t>South Mumbai</t>
        </is>
      </c>
      <c r="H1091" s="10" t="n">
        <v>1.55</v>
      </c>
      <c r="I1091" s="10" t="n">
        <v>540</v>
      </c>
      <c r="J1091" s="10" t="n">
        <v>720</v>
      </c>
      <c r="K1091" s="12" t="n">
        <v>646.5</v>
      </c>
      <c r="L1091" s="12" t="n">
        <v>0</v>
      </c>
      <c r="M1091" s="10" t="inlineStr">
        <is>
          <t>Yes</t>
        </is>
      </c>
      <c r="N1091" s="11" t="n">
        <v>0.353</v>
      </c>
      <c r="O1091" s="11" t="n">
        <v>0.477</v>
      </c>
      <c r="P1091" s="12" t="n">
        <v>1.9</v>
      </c>
    </row>
    <row r="1092">
      <c r="B1092" s="16" t="inlineStr">
        <is>
          <t>MUM</t>
        </is>
      </c>
      <c r="C1092" s="16" t="inlineStr">
        <is>
          <t>VEH-MUM-013</t>
        </is>
      </c>
      <c r="D1092" s="16" t="n">
        <v>6</v>
      </c>
      <c r="E1092" s="16" t="inlineStr">
        <is>
          <t>ORD-MUM-002336</t>
        </is>
      </c>
      <c r="F1092" s="16" t="inlineStr">
        <is>
          <t>ECOM_B2C</t>
        </is>
      </c>
      <c r="G1092" s="16" t="inlineStr">
        <is>
          <t>South Mumbai</t>
        </is>
      </c>
      <c r="H1092" s="16" t="n">
        <v>0.9</v>
      </c>
      <c r="I1092" s="16" t="n">
        <v>600</v>
      </c>
      <c r="J1092" s="16" t="n">
        <v>720</v>
      </c>
      <c r="K1092" s="18" t="n">
        <v>652.7</v>
      </c>
      <c r="L1092" s="18" t="n">
        <v>0</v>
      </c>
      <c r="M1092" s="16" t="inlineStr">
        <is>
          <t>Yes</t>
        </is>
      </c>
      <c r="N1092" s="17" t="n">
        <v>0.428</v>
      </c>
      <c r="O1092" s="17" t="n">
        <v>0.578</v>
      </c>
      <c r="P1092" s="18" t="n">
        <v>2.3</v>
      </c>
    </row>
    <row r="1093">
      <c r="B1093" s="10" t="inlineStr">
        <is>
          <t>MUM</t>
        </is>
      </c>
      <c r="C1093" s="10" t="inlineStr">
        <is>
          <t>VEH-MUM-013</t>
        </is>
      </c>
      <c r="D1093" s="10" t="n">
        <v>7</v>
      </c>
      <c r="E1093" s="10" t="inlineStr">
        <is>
          <t>ORD-MUM-002256</t>
        </is>
      </c>
      <c r="F1093" s="10" t="inlineStr">
        <is>
          <t>ECOM_B2C</t>
        </is>
      </c>
      <c r="G1093" s="10" t="inlineStr">
        <is>
          <t>South Mumbai</t>
        </is>
      </c>
      <c r="H1093" s="10" t="n">
        <v>9.82</v>
      </c>
      <c r="I1093" s="10" t="n">
        <v>540</v>
      </c>
      <c r="J1093" s="10" t="n">
        <v>720</v>
      </c>
      <c r="K1093" s="12" t="n">
        <v>671</v>
      </c>
      <c r="L1093" s="12" t="n">
        <v>0</v>
      </c>
      <c r="M1093" s="10" t="inlineStr">
        <is>
          <t>Yes</t>
        </is>
      </c>
      <c r="N1093" s="11" t="n">
        <v>2.691</v>
      </c>
      <c r="O1093" s="11" t="n">
        <v>3.633</v>
      </c>
      <c r="P1093" s="12" t="n">
        <v>14.3</v>
      </c>
    </row>
    <row r="1094">
      <c r="B1094" s="16" t="inlineStr">
        <is>
          <t>MUM</t>
        </is>
      </c>
      <c r="C1094" s="16" t="inlineStr">
        <is>
          <t>VEH-MUM-013</t>
        </is>
      </c>
      <c r="D1094" s="16" t="n">
        <v>8</v>
      </c>
      <c r="E1094" s="16" t="inlineStr">
        <is>
          <t>ORD-MUM-002332</t>
        </is>
      </c>
      <c r="F1094" s="16" t="inlineStr">
        <is>
          <t>ECOM_B2C</t>
        </is>
      </c>
      <c r="G1094" s="16" t="inlineStr">
        <is>
          <t>South Mumbai</t>
        </is>
      </c>
      <c r="H1094" s="16" t="n">
        <v>5.4</v>
      </c>
      <c r="I1094" s="16" t="n">
        <v>540</v>
      </c>
      <c r="J1094" s="16" t="n">
        <v>720</v>
      </c>
      <c r="K1094" s="18" t="n">
        <v>678</v>
      </c>
      <c r="L1094" s="18" t="n">
        <v>0</v>
      </c>
      <c r="M1094" s="16" t="inlineStr">
        <is>
          <t>Yes</t>
        </is>
      </c>
      <c r="N1094" s="17" t="n">
        <v>0.909</v>
      </c>
      <c r="O1094" s="17" t="n">
        <v>1.227</v>
      </c>
      <c r="P1094" s="18" t="n">
        <v>2.9</v>
      </c>
    </row>
    <row r="1095">
      <c r="B1095" s="10" t="inlineStr">
        <is>
          <t>MUM</t>
        </is>
      </c>
      <c r="C1095" s="10" t="inlineStr">
        <is>
          <t>VEH-MUM-013</t>
        </is>
      </c>
      <c r="D1095" s="10" t="n">
        <v>9</v>
      </c>
      <c r="E1095" s="10" t="inlineStr">
        <is>
          <t>ORD-MUM-002292</t>
        </is>
      </c>
      <c r="F1095" s="10" t="inlineStr">
        <is>
          <t>ECOM_B2C</t>
        </is>
      </c>
      <c r="G1095" s="10" t="inlineStr">
        <is>
          <t>South Mumbai</t>
        </is>
      </c>
      <c r="H1095" s="10" t="n">
        <v>2.85</v>
      </c>
      <c r="I1095" s="10" t="n">
        <v>540</v>
      </c>
      <c r="J1095" s="10" t="n">
        <v>720</v>
      </c>
      <c r="K1095" s="12" t="n">
        <v>684.8</v>
      </c>
      <c r="L1095" s="12" t="n">
        <v>0</v>
      </c>
      <c r="M1095" s="10" t="inlineStr">
        <is>
          <t>Yes</t>
        </is>
      </c>
      <c r="N1095" s="11" t="n">
        <v>0.883</v>
      </c>
      <c r="O1095" s="11" t="n">
        <v>1.193</v>
      </c>
      <c r="P1095" s="12" t="n">
        <v>2.9</v>
      </c>
    </row>
    <row r="1096">
      <c r="B1096" s="16" t="inlineStr">
        <is>
          <t>MUM</t>
        </is>
      </c>
      <c r="C1096" s="16" t="inlineStr">
        <is>
          <t>VEH-MUM-013</t>
        </is>
      </c>
      <c r="D1096" s="16" t="n">
        <v>10</v>
      </c>
      <c r="E1096" s="16" t="inlineStr">
        <is>
          <t>ORD-MUM-002317</t>
        </is>
      </c>
      <c r="F1096" s="16" t="inlineStr">
        <is>
          <t>ECOM_B2C</t>
        </is>
      </c>
      <c r="G1096" s="16" t="inlineStr">
        <is>
          <t>South Mumbai</t>
        </is>
      </c>
      <c r="H1096" s="16" t="n">
        <v>24.95</v>
      </c>
      <c r="I1096" s="16" t="n">
        <v>540</v>
      </c>
      <c r="J1096" s="16" t="n">
        <v>720</v>
      </c>
      <c r="K1096" s="18" t="n">
        <v>696.4</v>
      </c>
      <c r="L1096" s="18" t="n">
        <v>0</v>
      </c>
      <c r="M1096" s="16" t="inlineStr">
        <is>
          <t>Yes</t>
        </is>
      </c>
      <c r="N1096" s="17" t="n">
        <v>2.339</v>
      </c>
      <c r="O1096" s="17" t="n">
        <v>3.157</v>
      </c>
      <c r="P1096" s="18" t="n">
        <v>7.6</v>
      </c>
    </row>
    <row r="1097">
      <c r="B1097" s="10" t="inlineStr">
        <is>
          <t>MUM</t>
        </is>
      </c>
      <c r="C1097" s="10" t="inlineStr">
        <is>
          <t>VEH-MUM-013</t>
        </is>
      </c>
      <c r="D1097" s="10" t="n">
        <v>11</v>
      </c>
      <c r="E1097" s="10" t="inlineStr">
        <is>
          <t>ORD-MUM-002280</t>
        </is>
      </c>
      <c r="F1097" s="10" t="inlineStr">
        <is>
          <t>ECOM_B2C</t>
        </is>
      </c>
      <c r="G1097" s="10" t="inlineStr">
        <is>
          <t>South Mumbai</t>
        </is>
      </c>
      <c r="H1097" s="10" t="n">
        <v>3.06</v>
      </c>
      <c r="I1097" s="10" t="n">
        <v>540</v>
      </c>
      <c r="J1097" s="10" t="n">
        <v>720</v>
      </c>
      <c r="K1097" s="12" t="n">
        <v>703.3</v>
      </c>
      <c r="L1097" s="12" t="n">
        <v>0</v>
      </c>
      <c r="M1097" s="10" t="inlineStr">
        <is>
          <t>Yes</t>
        </is>
      </c>
      <c r="N1097" s="11" t="n">
        <v>0.899</v>
      </c>
      <c r="O1097" s="11" t="n">
        <v>1.213</v>
      </c>
      <c r="P1097" s="12" t="n">
        <v>2.9</v>
      </c>
    </row>
    <row r="1098">
      <c r="B1098" s="16" t="inlineStr">
        <is>
          <t>MUM</t>
        </is>
      </c>
      <c r="C1098" s="16" t="inlineStr">
        <is>
          <t>VEH-MUM-013</t>
        </is>
      </c>
      <c r="D1098" s="16" t="n">
        <v>12</v>
      </c>
      <c r="E1098" s="16" t="inlineStr">
        <is>
          <t>ORD-MUM-002350</t>
        </is>
      </c>
      <c r="F1098" s="16" t="inlineStr">
        <is>
          <t>ECOM_B2C</t>
        </is>
      </c>
      <c r="G1098" s="16" t="inlineStr">
        <is>
          <t>South Mumbai</t>
        </is>
      </c>
      <c r="H1098" s="16" t="n">
        <v>4.44</v>
      </c>
      <c r="I1098" s="16" t="n">
        <v>720</v>
      </c>
      <c r="J1098" s="16" t="n">
        <v>900</v>
      </c>
      <c r="K1098" s="18" t="n">
        <v>710.2</v>
      </c>
      <c r="L1098" s="18" t="n">
        <v>0</v>
      </c>
      <c r="M1098" s="16" t="inlineStr">
        <is>
          <t>Yes</t>
        </is>
      </c>
      <c r="N1098" s="17" t="n">
        <v>0.889</v>
      </c>
      <c r="O1098" s="17" t="n">
        <v>1.2</v>
      </c>
      <c r="P1098" s="18" t="n">
        <v>2.9</v>
      </c>
    </row>
    <row r="1099">
      <c r="B1099" s="10" t="inlineStr">
        <is>
          <t>MUM</t>
        </is>
      </c>
      <c r="C1099" s="10" t="inlineStr">
        <is>
          <t>VEH-MUM-013</t>
        </is>
      </c>
      <c r="D1099" s="10" t="n">
        <v>13</v>
      </c>
      <c r="E1099" s="10" t="inlineStr">
        <is>
          <t>ORD-MUM-002351</t>
        </is>
      </c>
      <c r="F1099" s="10" t="inlineStr">
        <is>
          <t>ECOM_B2C</t>
        </is>
      </c>
      <c r="G1099" s="10" t="inlineStr">
        <is>
          <t>South Mumbai</t>
        </is>
      </c>
      <c r="H1099" s="10" t="n">
        <v>3.7</v>
      </c>
      <c r="I1099" s="10" t="n">
        <v>720</v>
      </c>
      <c r="J1099" s="10" t="n">
        <v>900</v>
      </c>
      <c r="K1099" s="12" t="n">
        <v>725.9</v>
      </c>
      <c r="L1099" s="12" t="n">
        <v>0</v>
      </c>
      <c r="M1099" s="10" t="inlineStr">
        <is>
          <t>Yes</t>
        </is>
      </c>
      <c r="N1099" s="11" t="n">
        <v>0.589</v>
      </c>
      <c r="O1099" s="11" t="n">
        <v>0.794</v>
      </c>
      <c r="P1099" s="12" t="n">
        <v>1.9</v>
      </c>
    </row>
    <row r="1100">
      <c r="B1100" s="16" t="inlineStr">
        <is>
          <t>MUM</t>
        </is>
      </c>
      <c r="C1100" s="16" t="inlineStr">
        <is>
          <t>VEH-MUM-013</t>
        </is>
      </c>
      <c r="D1100" s="16" t="n">
        <v>14</v>
      </c>
      <c r="E1100" s="16" t="inlineStr">
        <is>
          <t>ORD-MUM-002281</t>
        </is>
      </c>
      <c r="F1100" s="16" t="inlineStr">
        <is>
          <t>ECOM_B2C</t>
        </is>
      </c>
      <c r="G1100" s="16" t="inlineStr">
        <is>
          <t>South Mumbai</t>
        </is>
      </c>
      <c r="H1100" s="16" t="n">
        <v>1.02</v>
      </c>
      <c r="I1100" s="16" t="n">
        <v>720</v>
      </c>
      <c r="J1100" s="16" t="n">
        <v>900</v>
      </c>
      <c r="K1100" s="18" t="n">
        <v>730.6</v>
      </c>
      <c r="L1100" s="18" t="n">
        <v>0</v>
      </c>
      <c r="M1100" s="16" t="inlineStr">
        <is>
          <t>Yes</t>
        </is>
      </c>
      <c r="N1100" s="17" t="n">
        <v>0.225</v>
      </c>
      <c r="O1100" s="17" t="n">
        <v>0.304</v>
      </c>
      <c r="P1100" s="18" t="n">
        <v>0.7</v>
      </c>
    </row>
    <row r="1101">
      <c r="B1101" s="10" t="inlineStr">
        <is>
          <t>MUM</t>
        </is>
      </c>
      <c r="C1101" s="10" t="inlineStr">
        <is>
          <t>VEH-MUM-013</t>
        </is>
      </c>
      <c r="D1101" s="10" t="n">
        <v>15</v>
      </c>
      <c r="E1101" s="10" t="inlineStr">
        <is>
          <t>ORD-MUM-002255</t>
        </is>
      </c>
      <c r="F1101" s="10" t="inlineStr">
        <is>
          <t>ECOM_B2C</t>
        </is>
      </c>
      <c r="G1101" s="10" t="inlineStr">
        <is>
          <t>South Mumbai</t>
        </is>
      </c>
      <c r="H1101" s="10" t="n">
        <v>5.14</v>
      </c>
      <c r="I1101" s="10" t="n">
        <v>840</v>
      </c>
      <c r="J1101" s="10" t="n">
        <v>960</v>
      </c>
      <c r="K1101" s="12" t="n">
        <v>734.8</v>
      </c>
      <c r="L1101" s="12" t="n">
        <v>0</v>
      </c>
      <c r="M1101" s="10" t="inlineStr">
        <is>
          <t>Yes</t>
        </is>
      </c>
      <c r="N1101" s="11" t="n">
        <v>0.058</v>
      </c>
      <c r="O1101" s="11" t="n">
        <v>0.078</v>
      </c>
      <c r="P1101" s="12" t="n">
        <v>0.2</v>
      </c>
    </row>
    <row r="1102">
      <c r="B1102" s="16" t="inlineStr">
        <is>
          <t>MUM</t>
        </is>
      </c>
      <c r="C1102" s="16" t="inlineStr">
        <is>
          <t>VEH-MUM-013</t>
        </is>
      </c>
      <c r="D1102" s="16" t="n">
        <v>16</v>
      </c>
      <c r="E1102" s="16" t="inlineStr">
        <is>
          <t>ORD-MUM-002345</t>
        </is>
      </c>
      <c r="F1102" s="16" t="inlineStr">
        <is>
          <t>ECOM_B2C</t>
        </is>
      </c>
      <c r="G1102" s="16" t="inlineStr">
        <is>
          <t>South Mumbai</t>
        </is>
      </c>
      <c r="H1102" s="16" t="n">
        <v>0.44</v>
      </c>
      <c r="I1102" s="16" t="n">
        <v>840</v>
      </c>
      <c r="J1102" s="16" t="n">
        <v>960</v>
      </c>
      <c r="K1102" s="18" t="n">
        <v>854</v>
      </c>
      <c r="L1102" s="18" t="n">
        <v>0</v>
      </c>
      <c r="M1102" s="16" t="inlineStr">
        <is>
          <t>Yes</t>
        </is>
      </c>
      <c r="N1102" s="17" t="n">
        <v>3.073</v>
      </c>
      <c r="O1102" s="17" t="n">
        <v>4.149</v>
      </c>
      <c r="P1102" s="18" t="n">
        <v>10</v>
      </c>
    </row>
    <row r="1103">
      <c r="B1103" s="10" t="inlineStr">
        <is>
          <t>MUM</t>
        </is>
      </c>
      <c r="C1103" s="10" t="inlineStr">
        <is>
          <t>VEH-MUM-013</t>
        </is>
      </c>
      <c r="D1103" s="10" t="n">
        <v>17</v>
      </c>
      <c r="E1103" s="10" t="inlineStr">
        <is>
          <t>ORD-MUM-002248</t>
        </is>
      </c>
      <c r="F1103" s="10" t="inlineStr">
        <is>
          <t>ECOM_B2C</t>
        </is>
      </c>
      <c r="G1103" s="10" t="inlineStr">
        <is>
          <t>South Mumbai</t>
        </is>
      </c>
      <c r="H1103" s="10" t="n">
        <v>3.36</v>
      </c>
      <c r="I1103" s="10" t="n">
        <v>720</v>
      </c>
      <c r="J1103" s="10" t="n">
        <v>900</v>
      </c>
      <c r="K1103" s="12" t="n">
        <v>859</v>
      </c>
      <c r="L1103" s="12" t="n">
        <v>0</v>
      </c>
      <c r="M1103" s="10" t="inlineStr">
        <is>
          <t>Yes</t>
        </is>
      </c>
      <c r="N1103" s="11" t="n">
        <v>0.318</v>
      </c>
      <c r="O1103" s="11" t="n">
        <v>0.429</v>
      </c>
      <c r="P1103" s="12" t="n">
        <v>1</v>
      </c>
    </row>
    <row r="1104">
      <c r="B1104" s="16" t="inlineStr">
        <is>
          <t>MUM</t>
        </is>
      </c>
      <c r="C1104" s="16" t="inlineStr">
        <is>
          <t>VEH-MUM-013</t>
        </is>
      </c>
      <c r="D1104" s="16" t="n">
        <v>18</v>
      </c>
      <c r="E1104" s="16" t="inlineStr">
        <is>
          <t>ORD-MUM-002253</t>
        </is>
      </c>
      <c r="F1104" s="16" t="inlineStr">
        <is>
          <t>ECOM_B2C</t>
        </is>
      </c>
      <c r="G1104" s="16" t="inlineStr">
        <is>
          <t>South Mumbai</t>
        </is>
      </c>
      <c r="H1104" s="16" t="n">
        <v>0.51</v>
      </c>
      <c r="I1104" s="16" t="n">
        <v>720</v>
      </c>
      <c r="J1104" s="16" t="n">
        <v>900</v>
      </c>
      <c r="K1104" s="18" t="n">
        <v>864.4</v>
      </c>
      <c r="L1104" s="18" t="n">
        <v>0</v>
      </c>
      <c r="M1104" s="16" t="inlineStr">
        <is>
          <t>Yes</t>
        </is>
      </c>
      <c r="N1104" s="17" t="n">
        <v>0.426</v>
      </c>
      <c r="O1104" s="17" t="n">
        <v>0.575</v>
      </c>
      <c r="P1104" s="18" t="n">
        <v>1.4</v>
      </c>
    </row>
    <row r="1105">
      <c r="B1105" s="10" t="inlineStr">
        <is>
          <t>MUM</t>
        </is>
      </c>
      <c r="C1105" s="10" t="inlineStr">
        <is>
          <t>VEH-MUM-013</t>
        </is>
      </c>
      <c r="D1105" s="10" t="n">
        <v>19</v>
      </c>
      <c r="E1105" s="10" t="inlineStr">
        <is>
          <t>ORD-MUM-002366</t>
        </is>
      </c>
      <c r="F1105" s="10" t="inlineStr">
        <is>
          <t>ECOM_B2C</t>
        </is>
      </c>
      <c r="G1105" s="10" t="inlineStr">
        <is>
          <t>South Mumbai</t>
        </is>
      </c>
      <c r="H1105" s="10" t="n">
        <v>1.94</v>
      </c>
      <c r="I1105" s="10" t="n">
        <v>720</v>
      </c>
      <c r="J1105" s="10" t="n">
        <v>900</v>
      </c>
      <c r="K1105" s="12" t="n">
        <v>877.3</v>
      </c>
      <c r="L1105" s="12" t="n">
        <v>0</v>
      </c>
      <c r="M1105" s="10" t="inlineStr">
        <is>
          <t>Yes</t>
        </is>
      </c>
      <c r="N1105" s="11" t="n">
        <v>2.758</v>
      </c>
      <c r="O1105" s="11" t="n">
        <v>3.723</v>
      </c>
      <c r="P1105" s="12" t="n">
        <v>8.9</v>
      </c>
    </row>
    <row r="1106">
      <c r="B1106" s="16" t="inlineStr">
        <is>
          <t>MUM</t>
        </is>
      </c>
      <c r="C1106" s="16" t="inlineStr">
        <is>
          <t>VEH-MUM-013</t>
        </is>
      </c>
      <c r="D1106" s="16" t="n">
        <v>20</v>
      </c>
      <c r="E1106" s="16" t="inlineStr">
        <is>
          <t>ORD-MUM-002303</t>
        </is>
      </c>
      <c r="F1106" s="16" t="inlineStr">
        <is>
          <t>ECOM_B2C</t>
        </is>
      </c>
      <c r="G1106" s="16" t="inlineStr">
        <is>
          <t>South Mumbai</t>
        </is>
      </c>
      <c r="H1106" s="16" t="n">
        <v>4.8</v>
      </c>
      <c r="I1106" s="16" t="n">
        <v>720</v>
      </c>
      <c r="J1106" s="16" t="n">
        <v>900</v>
      </c>
      <c r="K1106" s="18" t="n">
        <v>887.9</v>
      </c>
      <c r="L1106" s="18" t="n">
        <v>0</v>
      </c>
      <c r="M1106" s="16" t="inlineStr">
        <is>
          <t>Yes</t>
        </is>
      </c>
      <c r="N1106" s="17" t="n">
        <v>2.034</v>
      </c>
      <c r="O1106" s="17" t="n">
        <v>2.746</v>
      </c>
      <c r="P1106" s="18" t="n">
        <v>6.6</v>
      </c>
    </row>
    <row r="1107">
      <c r="B1107" s="10" t="inlineStr">
        <is>
          <t>MUM</t>
        </is>
      </c>
      <c r="C1107" s="10" t="inlineStr">
        <is>
          <t>VEH-MUM-013</t>
        </is>
      </c>
      <c r="D1107" s="10" t="n">
        <v>21</v>
      </c>
      <c r="E1107" s="10" t="inlineStr">
        <is>
          <t>ORD-MUM-002369</t>
        </is>
      </c>
      <c r="F1107" s="10" t="inlineStr">
        <is>
          <t>ECOM_B2C</t>
        </is>
      </c>
      <c r="G1107" s="10" t="inlineStr">
        <is>
          <t>South Mumbai</t>
        </is>
      </c>
      <c r="H1107" s="10" t="n">
        <v>2.97</v>
      </c>
      <c r="I1107" s="10" t="n">
        <v>720</v>
      </c>
      <c r="J1107" s="10" t="n">
        <v>900</v>
      </c>
      <c r="K1107" s="12" t="n">
        <v>893.6</v>
      </c>
      <c r="L1107" s="12" t="n">
        <v>0</v>
      </c>
      <c r="M1107" s="10" t="inlineStr">
        <is>
          <t>Yes</t>
        </is>
      </c>
      <c r="N1107" s="11" t="n">
        <v>0.534</v>
      </c>
      <c r="O1107" s="11" t="n">
        <v>0.72</v>
      </c>
      <c r="P1107" s="12" t="n">
        <v>1.7</v>
      </c>
    </row>
    <row r="1108">
      <c r="B1108" s="16" t="inlineStr">
        <is>
          <t>MUM</t>
        </is>
      </c>
      <c r="C1108" s="16" t="inlineStr">
        <is>
          <t>VEH-MUM-013</t>
        </is>
      </c>
      <c r="D1108" s="16" t="n">
        <v>22</v>
      </c>
      <c r="E1108" s="16" t="inlineStr">
        <is>
          <t>ORD-MUM-002288</t>
        </is>
      </c>
      <c r="F1108" s="16" t="inlineStr">
        <is>
          <t>ECOM_B2C</t>
        </is>
      </c>
      <c r="G1108" s="16" t="inlineStr">
        <is>
          <t>South Mumbai</t>
        </is>
      </c>
      <c r="H1108" s="16" t="n">
        <v>3.42</v>
      </c>
      <c r="I1108" s="16" t="n">
        <v>720</v>
      </c>
      <c r="J1108" s="16" t="n">
        <v>900</v>
      </c>
      <c r="K1108" s="18" t="n">
        <v>897.6</v>
      </c>
      <c r="L1108" s="18" t="n">
        <v>0</v>
      </c>
      <c r="M1108" s="16" t="inlineStr">
        <is>
          <t>Yes</t>
        </is>
      </c>
      <c r="N1108" s="17" t="n">
        <v>0</v>
      </c>
      <c r="O1108" s="17" t="n">
        <v>0</v>
      </c>
      <c r="P1108" s="18" t="n">
        <v>0</v>
      </c>
    </row>
    <row r="1109">
      <c r="B1109" s="10" t="inlineStr">
        <is>
          <t>MUM</t>
        </is>
      </c>
      <c r="C1109" s="10" t="inlineStr">
        <is>
          <t>VEH-MUM-013</t>
        </is>
      </c>
      <c r="D1109" s="10" t="n">
        <v>23</v>
      </c>
      <c r="E1109" s="10" t="inlineStr">
        <is>
          <t>ORD-MUM-002278</t>
        </is>
      </c>
      <c r="F1109" s="10" t="inlineStr">
        <is>
          <t>ECOM_B2C</t>
        </is>
      </c>
      <c r="G1109" s="10" t="inlineStr">
        <is>
          <t>South Mumbai</t>
        </is>
      </c>
      <c r="H1109" s="10" t="n">
        <v>2.66</v>
      </c>
      <c r="I1109" s="10" t="n">
        <v>900</v>
      </c>
      <c r="J1109" s="10" t="n">
        <v>1080</v>
      </c>
      <c r="K1109" s="12" t="n">
        <v>901.6</v>
      </c>
      <c r="L1109" s="12" t="n">
        <v>0</v>
      </c>
      <c r="M1109" s="10" t="inlineStr">
        <is>
          <t>Yes</t>
        </is>
      </c>
      <c r="N1109" s="11" t="n">
        <v>0</v>
      </c>
      <c r="O1109" s="11" t="n">
        <v>0</v>
      </c>
      <c r="P1109" s="12" t="n">
        <v>0</v>
      </c>
    </row>
    <row r="1110">
      <c r="B1110" s="16" t="inlineStr">
        <is>
          <t>MUM</t>
        </is>
      </c>
      <c r="C1110" s="16" t="inlineStr">
        <is>
          <t>VEH-MUM-013</t>
        </is>
      </c>
      <c r="D1110" s="16" t="n">
        <v>24</v>
      </c>
      <c r="E1110" s="16" t="inlineStr">
        <is>
          <t>ORD-MUM-002398</t>
        </is>
      </c>
      <c r="F1110" s="16" t="inlineStr">
        <is>
          <t>ECOM_B2C</t>
        </is>
      </c>
      <c r="G1110" s="16" t="inlineStr">
        <is>
          <t>South Mumbai</t>
        </is>
      </c>
      <c r="H1110" s="16" t="n">
        <v>4.71</v>
      </c>
      <c r="I1110" s="16" t="n">
        <v>900</v>
      </c>
      <c r="J1110" s="16" t="n">
        <v>1080</v>
      </c>
      <c r="K1110" s="18" t="n">
        <v>917</v>
      </c>
      <c r="L1110" s="18" t="n">
        <v>0</v>
      </c>
      <c r="M1110" s="16" t="inlineStr">
        <is>
          <t>Yes</t>
        </is>
      </c>
      <c r="N1110" s="17" t="n">
        <v>3.501</v>
      </c>
      <c r="O1110" s="17" t="n">
        <v>4.727</v>
      </c>
      <c r="P1110" s="18" t="n">
        <v>11.3</v>
      </c>
    </row>
    <row r="1111">
      <c r="B1111" s="10" t="inlineStr">
        <is>
          <t>MUM</t>
        </is>
      </c>
      <c r="C1111" s="10" t="inlineStr">
        <is>
          <t>VEH-MUM-013</t>
        </is>
      </c>
      <c r="D1111" s="10" t="n">
        <v>25</v>
      </c>
      <c r="E1111" s="10" t="inlineStr">
        <is>
          <t>ORD-MUM-002363</t>
        </is>
      </c>
      <c r="F1111" s="10" t="inlineStr">
        <is>
          <t>ECOM_B2C</t>
        </is>
      </c>
      <c r="G1111" s="10" t="inlineStr">
        <is>
          <t>South Mumbai</t>
        </is>
      </c>
      <c r="H1111" s="10" t="n">
        <v>3.5</v>
      </c>
      <c r="I1111" s="10" t="n">
        <v>900</v>
      </c>
      <c r="J1111" s="10" t="n">
        <v>1080</v>
      </c>
      <c r="K1111" s="12" t="n">
        <v>930.4</v>
      </c>
      <c r="L1111" s="12" t="n">
        <v>0</v>
      </c>
      <c r="M1111" s="10" t="inlineStr">
        <is>
          <t>Yes</t>
        </is>
      </c>
      <c r="N1111" s="11" t="n">
        <v>2.91</v>
      </c>
      <c r="O1111" s="11" t="n">
        <v>3.929</v>
      </c>
      <c r="P1111" s="12" t="n">
        <v>9.4</v>
      </c>
    </row>
    <row r="1112">
      <c r="B1112" s="16" t="inlineStr">
        <is>
          <t>MUM</t>
        </is>
      </c>
      <c r="C1112" s="16" t="inlineStr">
        <is>
          <t>VEH-MUM-013</t>
        </is>
      </c>
      <c r="D1112" s="16" t="n">
        <v>26</v>
      </c>
      <c r="E1112" s="16" t="inlineStr">
        <is>
          <t>ORD-MUM-002250</t>
        </is>
      </c>
      <c r="F1112" s="16" t="inlineStr">
        <is>
          <t>ECOM_B2C</t>
        </is>
      </c>
      <c r="G1112" s="16" t="inlineStr">
        <is>
          <t>Bandra</t>
        </is>
      </c>
      <c r="H1112" s="16" t="n">
        <v>1.72</v>
      </c>
      <c r="I1112" s="16" t="n">
        <v>900</v>
      </c>
      <c r="J1112" s="16" t="n">
        <v>1080</v>
      </c>
      <c r="K1112" s="18" t="n">
        <v>964.1</v>
      </c>
      <c r="L1112" s="18" t="n">
        <v>0</v>
      </c>
      <c r="M1112" s="16" t="inlineStr">
        <is>
          <t>Yes</t>
        </is>
      </c>
      <c r="N1112" s="17" t="n">
        <v>9.426</v>
      </c>
      <c r="O1112" s="17" t="n">
        <v>12.725</v>
      </c>
      <c r="P1112" s="18" t="n">
        <v>29.7</v>
      </c>
    </row>
    <row r="1113">
      <c r="B1113" s="10" t="inlineStr">
        <is>
          <t>MUM</t>
        </is>
      </c>
      <c r="C1113" s="10" t="inlineStr">
        <is>
          <t>VEH-MUM-013</t>
        </is>
      </c>
      <c r="D1113" s="10" t="n">
        <v>27</v>
      </c>
      <c r="E1113" s="10" t="inlineStr">
        <is>
          <t>ORD-MUM-002368</t>
        </is>
      </c>
      <c r="F1113" s="10" t="inlineStr">
        <is>
          <t>ECOM_B2C</t>
        </is>
      </c>
      <c r="G1113" s="10" t="inlineStr">
        <is>
          <t>Bandra</t>
        </is>
      </c>
      <c r="H1113" s="10" t="n">
        <v>2.28</v>
      </c>
      <c r="I1113" s="10" t="n">
        <v>900</v>
      </c>
      <c r="J1113" s="10" t="n">
        <v>1080</v>
      </c>
      <c r="K1113" s="12" t="n">
        <v>971.5</v>
      </c>
      <c r="L1113" s="12" t="n">
        <v>0</v>
      </c>
      <c r="M1113" s="10" t="inlineStr">
        <is>
          <t>Yes</t>
        </is>
      </c>
      <c r="N1113" s="11" t="n">
        <v>1.084</v>
      </c>
      <c r="O1113" s="11" t="n">
        <v>1.464</v>
      </c>
      <c r="P1113" s="12" t="n">
        <v>3.4</v>
      </c>
    </row>
    <row r="1114">
      <c r="B1114" s="16" t="inlineStr">
        <is>
          <t>MUM</t>
        </is>
      </c>
      <c r="C1114" s="16" t="inlineStr">
        <is>
          <t>VEH-MUM-013</t>
        </is>
      </c>
      <c r="D1114" s="16" t="n">
        <v>28</v>
      </c>
      <c r="E1114" s="16" t="inlineStr">
        <is>
          <t>ORD-MUM-002267</t>
        </is>
      </c>
      <c r="F1114" s="16" t="inlineStr">
        <is>
          <t>ECOM_B2C</t>
        </is>
      </c>
      <c r="G1114" s="16" t="inlineStr">
        <is>
          <t>Andheri</t>
        </is>
      </c>
      <c r="H1114" s="16" t="n">
        <v>3.69</v>
      </c>
      <c r="I1114" s="16" t="n">
        <v>900</v>
      </c>
      <c r="J1114" s="16" t="n">
        <v>1080</v>
      </c>
      <c r="K1114" s="18" t="n">
        <v>987.7</v>
      </c>
      <c r="L1114" s="18" t="n">
        <v>0</v>
      </c>
      <c r="M1114" s="16" t="inlineStr">
        <is>
          <t>Yes</t>
        </is>
      </c>
      <c r="N1114" s="17" t="n">
        <v>3.846</v>
      </c>
      <c r="O1114" s="17" t="n">
        <v>5.192</v>
      </c>
      <c r="P1114" s="18" t="n">
        <v>12.1</v>
      </c>
    </row>
    <row r="1115">
      <c r="B1115" s="10" t="inlineStr">
        <is>
          <t>MUM</t>
        </is>
      </c>
      <c r="C1115" s="10" t="inlineStr">
        <is>
          <t>VEH-MUM-013</t>
        </is>
      </c>
      <c r="D1115" s="10" t="n">
        <v>29</v>
      </c>
      <c r="E1115" s="10" t="inlineStr">
        <is>
          <t>ORD-MUM-002417</t>
        </is>
      </c>
      <c r="F1115" s="10" t="inlineStr">
        <is>
          <t>ECOM_B2C</t>
        </is>
      </c>
      <c r="G1115" s="10" t="inlineStr">
        <is>
          <t>Andheri</t>
        </is>
      </c>
      <c r="H1115" s="10" t="n">
        <v>0.75</v>
      </c>
      <c r="I1115" s="10" t="n">
        <v>900</v>
      </c>
      <c r="J1115" s="10" t="n">
        <v>1080</v>
      </c>
      <c r="K1115" s="12" t="n">
        <v>995.3</v>
      </c>
      <c r="L1115" s="12" t="n">
        <v>0</v>
      </c>
      <c r="M1115" s="10" t="inlineStr">
        <is>
          <t>Yes</t>
        </is>
      </c>
      <c r="N1115" s="11" t="n">
        <v>1.152</v>
      </c>
      <c r="O1115" s="11" t="n">
        <v>1.555</v>
      </c>
      <c r="P1115" s="12" t="n">
        <v>3.6</v>
      </c>
    </row>
    <row r="1116">
      <c r="B1116" s="16" t="inlineStr">
        <is>
          <t>MUM</t>
        </is>
      </c>
      <c r="C1116" s="16" t="inlineStr">
        <is>
          <t>VEH-MUM-014</t>
        </is>
      </c>
      <c r="D1116" s="16" t="n">
        <v>1</v>
      </c>
      <c r="E1116" s="16" t="inlineStr">
        <is>
          <t>ORD-MUM-002284</t>
        </is>
      </c>
      <c r="F1116" s="16" t="inlineStr">
        <is>
          <t>ECOM_B2C</t>
        </is>
      </c>
      <c r="G1116" s="16" t="inlineStr">
        <is>
          <t>Andheri</t>
        </is>
      </c>
      <c r="H1116" s="16" t="n">
        <v>6.73</v>
      </c>
      <c r="I1116" s="16" t="n">
        <v>600</v>
      </c>
      <c r="J1116" s="16" t="n">
        <v>720</v>
      </c>
      <c r="K1116" s="18" t="n">
        <v>600</v>
      </c>
      <c r="L1116" s="18" t="n">
        <v>0</v>
      </c>
      <c r="M1116" s="16" t="inlineStr">
        <is>
          <t>Yes</t>
        </is>
      </c>
      <c r="N1116" s="17" t="n">
        <v>3.519</v>
      </c>
      <c r="O1116" s="17" t="n">
        <v>4.751</v>
      </c>
      <c r="P1116" s="18" t="n">
        <v>18.2</v>
      </c>
    </row>
    <row r="1117">
      <c r="B1117" s="10" t="inlineStr">
        <is>
          <t>MUM</t>
        </is>
      </c>
      <c r="C1117" s="10" t="inlineStr">
        <is>
          <t>VEH-MUM-014</t>
        </is>
      </c>
      <c r="D1117" s="10" t="n">
        <v>2</v>
      </c>
      <c r="E1117" s="10" t="inlineStr">
        <is>
          <t>ORD-MUM-002374</t>
        </is>
      </c>
      <c r="F1117" s="10" t="inlineStr">
        <is>
          <t>ECOM_B2C</t>
        </is>
      </c>
      <c r="G1117" s="10" t="inlineStr">
        <is>
          <t>Andheri</t>
        </is>
      </c>
      <c r="H1117" s="10" t="n">
        <v>2.1</v>
      </c>
      <c r="I1117" s="10" t="n">
        <v>600</v>
      </c>
      <c r="J1117" s="10" t="n">
        <v>720</v>
      </c>
      <c r="K1117" s="12" t="n">
        <v>607.1</v>
      </c>
      <c r="L1117" s="12" t="n">
        <v>0</v>
      </c>
      <c r="M1117" s="10" t="inlineStr">
        <is>
          <t>Yes</t>
        </is>
      </c>
      <c r="N1117" s="11" t="n">
        <v>0.607</v>
      </c>
      <c r="O1117" s="11" t="n">
        <v>0.82</v>
      </c>
      <c r="P1117" s="12" t="n">
        <v>3.1</v>
      </c>
    </row>
    <row r="1118">
      <c r="B1118" s="16" t="inlineStr">
        <is>
          <t>MUM</t>
        </is>
      </c>
      <c r="C1118" s="16" t="inlineStr">
        <is>
          <t>VEH-MUM-014</t>
        </is>
      </c>
      <c r="D1118" s="16" t="n">
        <v>3</v>
      </c>
      <c r="E1118" s="16" t="inlineStr">
        <is>
          <t>ORD-MUM-002263</t>
        </is>
      </c>
      <c r="F1118" s="16" t="inlineStr">
        <is>
          <t>ECOM_B2C</t>
        </is>
      </c>
      <c r="G1118" s="16" t="inlineStr">
        <is>
          <t>Andheri</t>
        </is>
      </c>
      <c r="H1118" s="16" t="n">
        <v>4.06</v>
      </c>
      <c r="I1118" s="16" t="n">
        <v>540</v>
      </c>
      <c r="J1118" s="16" t="n">
        <v>720</v>
      </c>
      <c r="K1118" s="18" t="n">
        <v>611.1</v>
      </c>
      <c r="L1118" s="18" t="n">
        <v>0</v>
      </c>
      <c r="M1118" s="16" t="inlineStr">
        <is>
          <t>Yes</t>
        </is>
      </c>
      <c r="N1118" s="17" t="n">
        <v>0</v>
      </c>
      <c r="O1118" s="17" t="n">
        <v>0</v>
      </c>
      <c r="P1118" s="18" t="n">
        <v>0</v>
      </c>
    </row>
    <row r="1119">
      <c r="B1119" s="10" t="inlineStr">
        <is>
          <t>MUM</t>
        </is>
      </c>
      <c r="C1119" s="10" t="inlineStr">
        <is>
          <t>VEH-MUM-014</t>
        </is>
      </c>
      <c r="D1119" s="10" t="n">
        <v>4</v>
      </c>
      <c r="E1119" s="10" t="inlineStr">
        <is>
          <t>ORD-MUM-002268</t>
        </is>
      </c>
      <c r="F1119" s="10" t="inlineStr">
        <is>
          <t>ECOM_B2C</t>
        </is>
      </c>
      <c r="G1119" s="10" t="inlineStr">
        <is>
          <t>Bandra</t>
        </is>
      </c>
      <c r="H1119" s="10" t="n">
        <v>2.98</v>
      </c>
      <c r="I1119" s="10" t="n">
        <v>540</v>
      </c>
      <c r="J1119" s="10" t="n">
        <v>720</v>
      </c>
      <c r="K1119" s="12" t="n">
        <v>620.8</v>
      </c>
      <c r="L1119" s="12" t="n">
        <v>0</v>
      </c>
      <c r="M1119" s="10" t="inlineStr">
        <is>
          <t>Yes</t>
        </is>
      </c>
      <c r="N1119" s="11" t="n">
        <v>1.089</v>
      </c>
      <c r="O1119" s="11" t="n">
        <v>1.47</v>
      </c>
      <c r="P1119" s="12" t="n">
        <v>5.6</v>
      </c>
    </row>
    <row r="1120">
      <c r="B1120" s="16" t="inlineStr">
        <is>
          <t>MUM</t>
        </is>
      </c>
      <c r="C1120" s="16" t="inlineStr">
        <is>
          <t>VEH-MUM-014</t>
        </is>
      </c>
      <c r="D1120" s="16" t="n">
        <v>5</v>
      </c>
      <c r="E1120" s="16" t="inlineStr">
        <is>
          <t>ORD-MUM-002343</t>
        </is>
      </c>
      <c r="F1120" s="16" t="inlineStr">
        <is>
          <t>ECOM_B2C</t>
        </is>
      </c>
      <c r="G1120" s="16" t="inlineStr">
        <is>
          <t>Bandra</t>
        </is>
      </c>
      <c r="H1120" s="16" t="n">
        <v>1.14</v>
      </c>
      <c r="I1120" s="16" t="n">
        <v>540</v>
      </c>
      <c r="J1120" s="16" t="n">
        <v>720</v>
      </c>
      <c r="K1120" s="18" t="n">
        <v>625.6</v>
      </c>
      <c r="L1120" s="18" t="n">
        <v>0</v>
      </c>
      <c r="M1120" s="16" t="inlineStr">
        <is>
          <t>Yes</t>
        </is>
      </c>
      <c r="N1120" s="17" t="n">
        <v>0.163</v>
      </c>
      <c r="O1120" s="17" t="n">
        <v>0.221</v>
      </c>
      <c r="P1120" s="18" t="n">
        <v>0.8</v>
      </c>
    </row>
    <row r="1121">
      <c r="B1121" s="10" t="inlineStr">
        <is>
          <t>MUM</t>
        </is>
      </c>
      <c r="C1121" s="10" t="inlineStr">
        <is>
          <t>VEH-MUM-014</t>
        </is>
      </c>
      <c r="D1121" s="10" t="n">
        <v>6</v>
      </c>
      <c r="E1121" s="10" t="inlineStr">
        <is>
          <t>ORD-MUM-002385</t>
        </is>
      </c>
      <c r="F1121" s="10" t="inlineStr">
        <is>
          <t>ECOM_B2C</t>
        </is>
      </c>
      <c r="G1121" s="10" t="inlineStr">
        <is>
          <t>Bandra</t>
        </is>
      </c>
      <c r="H1121" s="10" t="n">
        <v>1.4</v>
      </c>
      <c r="I1121" s="10" t="n">
        <v>540</v>
      </c>
      <c r="J1121" s="10" t="n">
        <v>720</v>
      </c>
      <c r="K1121" s="12" t="n">
        <v>631.1</v>
      </c>
      <c r="L1121" s="12" t="n">
        <v>0</v>
      </c>
      <c r="M1121" s="10" t="inlineStr">
        <is>
          <t>Yes</t>
        </is>
      </c>
      <c r="N1121" s="11" t="n">
        <v>0.291</v>
      </c>
      <c r="O1121" s="11" t="n">
        <v>0.393</v>
      </c>
      <c r="P1121" s="12" t="n">
        <v>1.5</v>
      </c>
    </row>
    <row r="1122">
      <c r="B1122" s="16" t="inlineStr">
        <is>
          <t>MUM</t>
        </is>
      </c>
      <c r="C1122" s="16" t="inlineStr">
        <is>
          <t>VEH-MUM-014</t>
        </is>
      </c>
      <c r="D1122" s="16" t="n">
        <v>7</v>
      </c>
      <c r="E1122" s="16" t="inlineStr">
        <is>
          <t>ORD-MUM-002387</t>
        </is>
      </c>
      <c r="F1122" s="16" t="inlineStr">
        <is>
          <t>ECOM_B2C</t>
        </is>
      </c>
      <c r="G1122" s="16" t="inlineStr">
        <is>
          <t>Bandra</t>
        </is>
      </c>
      <c r="H1122" s="16" t="n">
        <v>15.77</v>
      </c>
      <c r="I1122" s="16" t="n">
        <v>600</v>
      </c>
      <c r="J1122" s="16" t="n">
        <v>720</v>
      </c>
      <c r="K1122" s="18" t="n">
        <v>639.3</v>
      </c>
      <c r="L1122" s="18" t="n">
        <v>0</v>
      </c>
      <c r="M1122" s="16" t="inlineStr">
        <is>
          <t>Yes</t>
        </is>
      </c>
      <c r="N1122" s="17" t="n">
        <v>0.821</v>
      </c>
      <c r="O1122" s="17" t="n">
        <v>1.108</v>
      </c>
      <c r="P1122" s="18" t="n">
        <v>4.2</v>
      </c>
    </row>
    <row r="1123">
      <c r="B1123" s="10" t="inlineStr">
        <is>
          <t>MUM</t>
        </is>
      </c>
      <c r="C1123" s="10" t="inlineStr">
        <is>
          <t>VEH-MUM-014</t>
        </is>
      </c>
      <c r="D1123" s="10" t="n">
        <v>8</v>
      </c>
      <c r="E1123" s="10" t="inlineStr">
        <is>
          <t>ORD-MUM-002260</t>
        </is>
      </c>
      <c r="F1123" s="10" t="inlineStr">
        <is>
          <t>ECOM_B2C</t>
        </is>
      </c>
      <c r="G1123" s="10" t="inlineStr">
        <is>
          <t>Bandra</t>
        </is>
      </c>
      <c r="H1123" s="10" t="n">
        <v>0.38</v>
      </c>
      <c r="I1123" s="10" t="n">
        <v>600</v>
      </c>
      <c r="J1123" s="10" t="n">
        <v>720</v>
      </c>
      <c r="K1123" s="12" t="n">
        <v>648.3</v>
      </c>
      <c r="L1123" s="12" t="n">
        <v>0</v>
      </c>
      <c r="M1123" s="10" t="inlineStr">
        <is>
          <t>Yes</t>
        </is>
      </c>
      <c r="N1123" s="11" t="n">
        <v>0.972</v>
      </c>
      <c r="O1123" s="11" t="n">
        <v>1.313</v>
      </c>
      <c r="P1123" s="12" t="n">
        <v>5</v>
      </c>
    </row>
    <row r="1124">
      <c r="B1124" s="16" t="inlineStr">
        <is>
          <t>MUM</t>
        </is>
      </c>
      <c r="C1124" s="16" t="inlineStr">
        <is>
          <t>VEH-MUM-014</t>
        </is>
      </c>
      <c r="D1124" s="16" t="n">
        <v>9</v>
      </c>
      <c r="E1124" s="16" t="inlineStr">
        <is>
          <t>ORD-MUM-002403</t>
        </is>
      </c>
      <c r="F1124" s="16" t="inlineStr">
        <is>
          <t>ECOM_B2C</t>
        </is>
      </c>
      <c r="G1124" s="16" t="inlineStr">
        <is>
          <t>Bandra</t>
        </is>
      </c>
      <c r="H1124" s="16" t="n">
        <v>1.14</v>
      </c>
      <c r="I1124" s="16" t="n">
        <v>540</v>
      </c>
      <c r="J1124" s="16" t="n">
        <v>720</v>
      </c>
      <c r="K1124" s="18" t="n">
        <v>655</v>
      </c>
      <c r="L1124" s="18" t="n">
        <v>0</v>
      </c>
      <c r="M1124" s="16" t="inlineStr">
        <is>
          <t>Yes</t>
        </is>
      </c>
      <c r="N1124" s="17" t="n">
        <v>0.507</v>
      </c>
      <c r="O1124" s="17" t="n">
        <v>0.6840000000000001</v>
      </c>
      <c r="P1124" s="18" t="n">
        <v>2.6</v>
      </c>
    </row>
    <row r="1125">
      <c r="B1125" s="10" t="inlineStr">
        <is>
          <t>MUM</t>
        </is>
      </c>
      <c r="C1125" s="10" t="inlineStr">
        <is>
          <t>VEH-MUM-014</t>
        </is>
      </c>
      <c r="D1125" s="10" t="n">
        <v>10</v>
      </c>
      <c r="E1125" s="10" t="inlineStr">
        <is>
          <t>ORD-MUM-002262</t>
        </is>
      </c>
      <c r="F1125" s="10" t="inlineStr">
        <is>
          <t>ECOM_B2C</t>
        </is>
      </c>
      <c r="G1125" s="10" t="inlineStr">
        <is>
          <t>Bandra</t>
        </is>
      </c>
      <c r="H1125" s="10" t="n">
        <v>1.53</v>
      </c>
      <c r="I1125" s="10" t="n">
        <v>600</v>
      </c>
      <c r="J1125" s="10" t="n">
        <v>720</v>
      </c>
      <c r="K1125" s="12" t="n">
        <v>662.7</v>
      </c>
      <c r="L1125" s="12" t="n">
        <v>0</v>
      </c>
      <c r="M1125" s="10" t="inlineStr">
        <is>
          <t>Yes</t>
        </is>
      </c>
      <c r="N1125" s="11" t="n">
        <v>0.724</v>
      </c>
      <c r="O1125" s="11" t="n">
        <v>0.977</v>
      </c>
      <c r="P1125" s="12" t="n">
        <v>3.7</v>
      </c>
    </row>
    <row r="1126">
      <c r="B1126" s="16" t="inlineStr">
        <is>
          <t>MUM</t>
        </is>
      </c>
      <c r="C1126" s="16" t="inlineStr">
        <is>
          <t>VEH-MUM-014</t>
        </is>
      </c>
      <c r="D1126" s="16" t="n">
        <v>11</v>
      </c>
      <c r="E1126" s="16" t="inlineStr">
        <is>
          <t>ORD-MUM-002380</t>
        </is>
      </c>
      <c r="F1126" s="16" t="inlineStr">
        <is>
          <t>ECOM_B2C</t>
        </is>
      </c>
      <c r="G1126" s="16" t="inlineStr">
        <is>
          <t>Bandra</t>
        </is>
      </c>
      <c r="H1126" s="16" t="n">
        <v>8.17</v>
      </c>
      <c r="I1126" s="16" t="n">
        <v>600</v>
      </c>
      <c r="J1126" s="16" t="n">
        <v>720</v>
      </c>
      <c r="K1126" s="18" t="n">
        <v>671.7</v>
      </c>
      <c r="L1126" s="18" t="n">
        <v>0</v>
      </c>
      <c r="M1126" s="16" t="inlineStr">
        <is>
          <t>Yes</t>
        </is>
      </c>
      <c r="N1126" s="17" t="n">
        <v>1.596</v>
      </c>
      <c r="O1126" s="17" t="n">
        <v>2.155</v>
      </c>
      <c r="P1126" s="18" t="n">
        <v>5</v>
      </c>
    </row>
    <row r="1127">
      <c r="B1127" s="10" t="inlineStr">
        <is>
          <t>MUM</t>
        </is>
      </c>
      <c r="C1127" s="10" t="inlineStr">
        <is>
          <t>VEH-MUM-014</t>
        </is>
      </c>
      <c r="D1127" s="10" t="n">
        <v>12</v>
      </c>
      <c r="E1127" s="10" t="inlineStr">
        <is>
          <t>ORD-MUM-002244</t>
        </is>
      </c>
      <c r="F1127" s="10" t="inlineStr">
        <is>
          <t>ECOM_B2C</t>
        </is>
      </c>
      <c r="G1127" s="10" t="inlineStr">
        <is>
          <t>Bandra</t>
        </is>
      </c>
      <c r="H1127" s="10" t="n">
        <v>1.75</v>
      </c>
      <c r="I1127" s="10" t="n">
        <v>720</v>
      </c>
      <c r="J1127" s="10" t="n">
        <v>900</v>
      </c>
      <c r="K1127" s="12" t="n">
        <v>679.7</v>
      </c>
      <c r="L1127" s="12" t="n">
        <v>0</v>
      </c>
      <c r="M1127" s="10" t="inlineStr">
        <is>
          <t>Yes</t>
        </is>
      </c>
      <c r="N1127" s="11" t="n">
        <v>1.261</v>
      </c>
      <c r="O1127" s="11" t="n">
        <v>1.702</v>
      </c>
      <c r="P1127" s="12" t="n">
        <v>4</v>
      </c>
    </row>
    <row r="1128">
      <c r="B1128" s="16" t="inlineStr">
        <is>
          <t>MUM</t>
        </is>
      </c>
      <c r="C1128" s="16" t="inlineStr">
        <is>
          <t>VEH-MUM-014</t>
        </is>
      </c>
      <c r="D1128" s="16" t="n">
        <v>13</v>
      </c>
      <c r="E1128" s="16" t="inlineStr">
        <is>
          <t>ORD-MUM-002347</t>
        </is>
      </c>
      <c r="F1128" s="16" t="inlineStr">
        <is>
          <t>ECOM_B2C</t>
        </is>
      </c>
      <c r="G1128" s="16" t="inlineStr">
        <is>
          <t>Bandra</t>
        </is>
      </c>
      <c r="H1128" s="16" t="n">
        <v>3.36</v>
      </c>
      <c r="I1128" s="16" t="n">
        <v>720</v>
      </c>
      <c r="J1128" s="16" t="n">
        <v>900</v>
      </c>
      <c r="K1128" s="18" t="n">
        <v>724.6</v>
      </c>
      <c r="L1128" s="18" t="n">
        <v>0</v>
      </c>
      <c r="M1128" s="16" t="inlineStr">
        <is>
          <t>Yes</t>
        </is>
      </c>
      <c r="N1128" s="17" t="n">
        <v>0.202</v>
      </c>
      <c r="O1128" s="17" t="n">
        <v>0.273</v>
      </c>
      <c r="P1128" s="18" t="n">
        <v>0.6</v>
      </c>
    </row>
    <row r="1129">
      <c r="B1129" s="10" t="inlineStr">
        <is>
          <t>MUM</t>
        </is>
      </c>
      <c r="C1129" s="10" t="inlineStr">
        <is>
          <t>VEH-MUM-014</t>
        </is>
      </c>
      <c r="D1129" s="10" t="n">
        <v>14</v>
      </c>
      <c r="E1129" s="10" t="inlineStr">
        <is>
          <t>ORD-MUM-002352</t>
        </is>
      </c>
      <c r="F1129" s="10" t="inlineStr">
        <is>
          <t>ECOM_B2C</t>
        </is>
      </c>
      <c r="G1129" s="10" t="inlineStr">
        <is>
          <t>Bandra</t>
        </is>
      </c>
      <c r="H1129" s="10" t="n">
        <v>1.94</v>
      </c>
      <c r="I1129" s="10" t="n">
        <v>720</v>
      </c>
      <c r="J1129" s="10" t="n">
        <v>900</v>
      </c>
      <c r="K1129" s="12" t="n">
        <v>728.6</v>
      </c>
      <c r="L1129" s="12" t="n">
        <v>0</v>
      </c>
      <c r="M1129" s="10" t="inlineStr">
        <is>
          <t>Yes</t>
        </is>
      </c>
      <c r="N1129" s="11" t="n">
        <v>0</v>
      </c>
      <c r="O1129" s="11" t="n">
        <v>0</v>
      </c>
      <c r="P1129" s="12" t="n">
        <v>0</v>
      </c>
    </row>
    <row r="1130">
      <c r="B1130" s="16" t="inlineStr">
        <is>
          <t>MUM</t>
        </is>
      </c>
      <c r="C1130" s="16" t="inlineStr">
        <is>
          <t>VEH-MUM-014</t>
        </is>
      </c>
      <c r="D1130" s="16" t="n">
        <v>15</v>
      </c>
      <c r="E1130" s="16" t="inlineStr">
        <is>
          <t>ORD-MUM-002322</t>
        </is>
      </c>
      <c r="F1130" s="16" t="inlineStr">
        <is>
          <t>ECOM_B2C</t>
        </is>
      </c>
      <c r="G1130" s="16" t="inlineStr">
        <is>
          <t>Bandra</t>
        </is>
      </c>
      <c r="H1130" s="16" t="n">
        <v>1.87</v>
      </c>
      <c r="I1130" s="16" t="n">
        <v>720</v>
      </c>
      <c r="J1130" s="16" t="n">
        <v>900</v>
      </c>
      <c r="K1130" s="18" t="n">
        <v>734.1</v>
      </c>
      <c r="L1130" s="18" t="n">
        <v>0</v>
      </c>
      <c r="M1130" s="16" t="inlineStr">
        <is>
          <t>Yes</t>
        </is>
      </c>
      <c r="N1130" s="17" t="n">
        <v>0.454</v>
      </c>
      <c r="O1130" s="17" t="n">
        <v>0.613</v>
      </c>
      <c r="P1130" s="18" t="n">
        <v>1.4</v>
      </c>
    </row>
    <row r="1131">
      <c r="B1131" s="10" t="inlineStr">
        <is>
          <t>MUM</t>
        </is>
      </c>
      <c r="C1131" s="10" t="inlineStr">
        <is>
          <t>VEH-MUM-014</t>
        </is>
      </c>
      <c r="D1131" s="10" t="n">
        <v>16</v>
      </c>
      <c r="E1131" s="10" t="inlineStr">
        <is>
          <t>ORD-MUM-002418</t>
        </is>
      </c>
      <c r="F1131" s="10" t="inlineStr">
        <is>
          <t>ECOM_B2C</t>
        </is>
      </c>
      <c r="G1131" s="10" t="inlineStr">
        <is>
          <t>Bandra</t>
        </is>
      </c>
      <c r="H1131" s="10" t="n">
        <v>6.77</v>
      </c>
      <c r="I1131" s="10" t="n">
        <v>840</v>
      </c>
      <c r="J1131" s="10" t="n">
        <v>960</v>
      </c>
      <c r="K1131" s="12" t="n">
        <v>739.3</v>
      </c>
      <c r="L1131" s="12" t="n">
        <v>0</v>
      </c>
      <c r="M1131" s="10" t="inlineStr">
        <is>
          <t>Yes</t>
        </is>
      </c>
      <c r="N1131" s="11" t="n">
        <v>0.405</v>
      </c>
      <c r="O1131" s="11" t="n">
        <v>0.547</v>
      </c>
      <c r="P1131" s="12" t="n">
        <v>1.3</v>
      </c>
    </row>
    <row r="1132">
      <c r="B1132" s="16" t="inlineStr">
        <is>
          <t>MUM</t>
        </is>
      </c>
      <c r="C1132" s="16" t="inlineStr">
        <is>
          <t>VEH-MUM-014</t>
        </is>
      </c>
      <c r="D1132" s="16" t="n">
        <v>17</v>
      </c>
      <c r="E1132" s="16" t="inlineStr">
        <is>
          <t>ORD-MUM-002276</t>
        </is>
      </c>
      <c r="F1132" s="16" t="inlineStr">
        <is>
          <t>ECOM_B2C</t>
        </is>
      </c>
      <c r="G1132" s="16" t="inlineStr">
        <is>
          <t>Bandra</t>
        </is>
      </c>
      <c r="H1132" s="16" t="n">
        <v>2.42</v>
      </c>
      <c r="I1132" s="16" t="n">
        <v>720</v>
      </c>
      <c r="J1132" s="16" t="n">
        <v>900</v>
      </c>
      <c r="K1132" s="18" t="n">
        <v>847.2</v>
      </c>
      <c r="L1132" s="18" t="n">
        <v>0</v>
      </c>
      <c r="M1132" s="16" t="inlineStr">
        <is>
          <t>Yes</t>
        </is>
      </c>
      <c r="N1132" s="17" t="n">
        <v>1.012</v>
      </c>
      <c r="O1132" s="17" t="n">
        <v>1.367</v>
      </c>
      <c r="P1132" s="18" t="n">
        <v>3.2</v>
      </c>
    </row>
    <row r="1133">
      <c r="B1133" s="10" t="inlineStr">
        <is>
          <t>MUM</t>
        </is>
      </c>
      <c r="C1133" s="10" t="inlineStr">
        <is>
          <t>VEH-MUM-014</t>
        </is>
      </c>
      <c r="D1133" s="10" t="n">
        <v>18</v>
      </c>
      <c r="E1133" s="10" t="inlineStr">
        <is>
          <t>ORD-MUM-002305</t>
        </is>
      </c>
      <c r="F1133" s="10" t="inlineStr">
        <is>
          <t>ECOM_B2C</t>
        </is>
      </c>
      <c r="G1133" s="10" t="inlineStr">
        <is>
          <t>Bandra</t>
        </is>
      </c>
      <c r="H1133" s="10" t="n">
        <v>2.28</v>
      </c>
      <c r="I1133" s="10" t="n">
        <v>720</v>
      </c>
      <c r="J1133" s="10" t="n">
        <v>900</v>
      </c>
      <c r="K1133" s="12" t="n">
        <v>857.4</v>
      </c>
      <c r="L1133" s="12" t="n">
        <v>0</v>
      </c>
      <c r="M1133" s="10" t="inlineStr">
        <is>
          <t>Yes</t>
        </is>
      </c>
      <c r="N1133" s="11" t="n">
        <v>1.954</v>
      </c>
      <c r="O1133" s="11" t="n">
        <v>2.638</v>
      </c>
      <c r="P1133" s="12" t="n">
        <v>6.2</v>
      </c>
    </row>
    <row r="1134">
      <c r="B1134" s="16" t="inlineStr">
        <is>
          <t>MUM</t>
        </is>
      </c>
      <c r="C1134" s="16" t="inlineStr">
        <is>
          <t>VEH-MUM-014</t>
        </is>
      </c>
      <c r="D1134" s="16" t="n">
        <v>19</v>
      </c>
      <c r="E1134" s="16" t="inlineStr">
        <is>
          <t>ORD-MUM-002338</t>
        </is>
      </c>
      <c r="F1134" s="16" t="inlineStr">
        <is>
          <t>ECOM_B2C</t>
        </is>
      </c>
      <c r="G1134" s="16" t="inlineStr">
        <is>
          <t>Bandra</t>
        </is>
      </c>
      <c r="H1134" s="16" t="n">
        <v>4.75</v>
      </c>
      <c r="I1134" s="16" t="n">
        <v>840</v>
      </c>
      <c r="J1134" s="16" t="n">
        <v>960</v>
      </c>
      <c r="K1134" s="18" t="n">
        <v>867</v>
      </c>
      <c r="L1134" s="18" t="n">
        <v>0</v>
      </c>
      <c r="M1134" s="16" t="inlineStr">
        <is>
          <t>Yes</t>
        </is>
      </c>
      <c r="N1134" s="17" t="n">
        <v>1.793</v>
      </c>
      <c r="O1134" s="17" t="n">
        <v>2.42</v>
      </c>
      <c r="P1134" s="18" t="n">
        <v>5.7</v>
      </c>
    </row>
    <row r="1135">
      <c r="B1135" s="10" t="inlineStr">
        <is>
          <t>MUM</t>
        </is>
      </c>
      <c r="C1135" s="10" t="inlineStr">
        <is>
          <t>VEH-MUM-014</t>
        </is>
      </c>
      <c r="D1135" s="10" t="n">
        <v>20</v>
      </c>
      <c r="E1135" s="10" t="inlineStr">
        <is>
          <t>ORD-MUM-002287</t>
        </is>
      </c>
      <c r="F1135" s="10" t="inlineStr">
        <is>
          <t>ECOM_B2C</t>
        </is>
      </c>
      <c r="G1135" s="10" t="inlineStr">
        <is>
          <t>Bandra</t>
        </is>
      </c>
      <c r="H1135" s="10" t="n">
        <v>2.59</v>
      </c>
      <c r="I1135" s="10" t="n">
        <v>720</v>
      </c>
      <c r="J1135" s="10" t="n">
        <v>900</v>
      </c>
      <c r="K1135" s="12" t="n">
        <v>874</v>
      </c>
      <c r="L1135" s="12" t="n">
        <v>0</v>
      </c>
      <c r="M1135" s="10" t="inlineStr">
        <is>
          <t>Yes</t>
        </is>
      </c>
      <c r="N1135" s="11" t="n">
        <v>0.9379999999999999</v>
      </c>
      <c r="O1135" s="11" t="n">
        <v>1.266</v>
      </c>
      <c r="P1135" s="12" t="n">
        <v>3</v>
      </c>
    </row>
    <row r="1136">
      <c r="B1136" s="16" t="inlineStr">
        <is>
          <t>MUM</t>
        </is>
      </c>
      <c r="C1136" s="16" t="inlineStr">
        <is>
          <t>VEH-MUM-014</t>
        </is>
      </c>
      <c r="D1136" s="16" t="n">
        <v>21</v>
      </c>
      <c r="E1136" s="16" t="inlineStr">
        <is>
          <t>ORD-MUM-002361</t>
        </is>
      </c>
      <c r="F1136" s="16" t="inlineStr">
        <is>
          <t>ECOM_B2C</t>
        </is>
      </c>
      <c r="G1136" s="16" t="inlineStr">
        <is>
          <t>Bandra</t>
        </is>
      </c>
      <c r="H1136" s="16" t="n">
        <v>1.17</v>
      </c>
      <c r="I1136" s="16" t="n">
        <v>900</v>
      </c>
      <c r="J1136" s="16" t="n">
        <v>1080</v>
      </c>
      <c r="K1136" s="18" t="n">
        <v>878.8</v>
      </c>
      <c r="L1136" s="18" t="n">
        <v>0</v>
      </c>
      <c r="M1136" s="16" t="inlineStr">
        <is>
          <t>Yes</t>
        </is>
      </c>
      <c r="N1136" s="17" t="n">
        <v>0.28</v>
      </c>
      <c r="O1136" s="17" t="n">
        <v>0.377</v>
      </c>
      <c r="P1136" s="18" t="n">
        <v>0.9</v>
      </c>
    </row>
    <row r="1137">
      <c r="B1137" s="10" t="inlineStr">
        <is>
          <t>MUM</t>
        </is>
      </c>
      <c r="C1137" s="10" t="inlineStr">
        <is>
          <t>VEH-MUM-014</t>
        </is>
      </c>
      <c r="D1137" s="10" t="n">
        <v>22</v>
      </c>
      <c r="E1137" s="10" t="inlineStr">
        <is>
          <t>ORD-MUM-002383</t>
        </is>
      </c>
      <c r="F1137" s="10" t="inlineStr">
        <is>
          <t>ECOM_B2C</t>
        </is>
      </c>
      <c r="G1137" s="10" t="inlineStr">
        <is>
          <t>Bandra</t>
        </is>
      </c>
      <c r="H1137" s="10" t="n">
        <v>10.7</v>
      </c>
      <c r="I1137" s="10" t="n">
        <v>900</v>
      </c>
      <c r="J1137" s="10" t="n">
        <v>1080</v>
      </c>
      <c r="K1137" s="12" t="n">
        <v>912.4</v>
      </c>
      <c r="L1137" s="12" t="n">
        <v>0</v>
      </c>
      <c r="M1137" s="10" t="inlineStr">
        <is>
          <t>Yes</t>
        </is>
      </c>
      <c r="N1137" s="11" t="n">
        <v>2.667</v>
      </c>
      <c r="O1137" s="11" t="n">
        <v>3.601</v>
      </c>
      <c r="P1137" s="12" t="n">
        <v>8.4</v>
      </c>
    </row>
    <row r="1138">
      <c r="B1138" s="16" t="inlineStr">
        <is>
          <t>MUM</t>
        </is>
      </c>
      <c r="C1138" s="16" t="inlineStr">
        <is>
          <t>VEH-MUM-014</t>
        </is>
      </c>
      <c r="D1138" s="16" t="n">
        <v>23</v>
      </c>
      <c r="E1138" s="16" t="inlineStr">
        <is>
          <t>ORD-MUM-002409</t>
        </is>
      </c>
      <c r="F1138" s="16" t="inlineStr">
        <is>
          <t>ECOM_B2C</t>
        </is>
      </c>
      <c r="G1138" s="16" t="inlineStr">
        <is>
          <t>Bandra</t>
        </is>
      </c>
      <c r="H1138" s="16" t="n">
        <v>0.64</v>
      </c>
      <c r="I1138" s="16" t="n">
        <v>840</v>
      </c>
      <c r="J1138" s="16" t="n">
        <v>960</v>
      </c>
      <c r="K1138" s="18" t="n">
        <v>916.4</v>
      </c>
      <c r="L1138" s="18" t="n">
        <v>0</v>
      </c>
      <c r="M1138" s="16" t="inlineStr">
        <is>
          <t>Yes</t>
        </is>
      </c>
      <c r="N1138" s="17" t="n">
        <v>0</v>
      </c>
      <c r="O1138" s="17" t="n">
        <v>0</v>
      </c>
      <c r="P1138" s="18" t="n">
        <v>0</v>
      </c>
    </row>
    <row r="1139">
      <c r="B1139" s="10" t="inlineStr">
        <is>
          <t>MUM</t>
        </is>
      </c>
      <c r="C1139" s="10" t="inlineStr">
        <is>
          <t>VEH-MUM-014</t>
        </is>
      </c>
      <c r="D1139" s="10" t="n">
        <v>24</v>
      </c>
      <c r="E1139" s="10" t="inlineStr">
        <is>
          <t>ORD-MUM-002378</t>
        </is>
      </c>
      <c r="F1139" s="10" t="inlineStr">
        <is>
          <t>ECOM_B2C</t>
        </is>
      </c>
      <c r="G1139" s="10" t="inlineStr">
        <is>
          <t>Bandra</t>
        </is>
      </c>
      <c r="H1139" s="10" t="n">
        <v>0.6899999999999999</v>
      </c>
      <c r="I1139" s="10" t="n">
        <v>1080</v>
      </c>
      <c r="J1139" s="10" t="n">
        <v>1260</v>
      </c>
      <c r="K1139" s="12" t="n">
        <v>922</v>
      </c>
      <c r="L1139" s="12" t="n">
        <v>0</v>
      </c>
      <c r="M1139" s="10" t="inlineStr">
        <is>
          <t>Yes</t>
        </is>
      </c>
      <c r="N1139" s="11" t="n">
        <v>0.512</v>
      </c>
      <c r="O1139" s="11" t="n">
        <v>0.6909999999999999</v>
      </c>
      <c r="P1139" s="12" t="n">
        <v>1.6</v>
      </c>
    </row>
    <row r="1140">
      <c r="B1140" s="16" t="inlineStr">
        <is>
          <t>MUM</t>
        </is>
      </c>
      <c r="C1140" s="16" t="inlineStr">
        <is>
          <t>VEH-MUM-014</t>
        </is>
      </c>
      <c r="D1140" s="16" t="n">
        <v>25</v>
      </c>
      <c r="E1140" s="16" t="inlineStr">
        <is>
          <t>ORD-MUM-002277</t>
        </is>
      </c>
      <c r="F1140" s="16" t="inlineStr">
        <is>
          <t>ECOM_B2C</t>
        </is>
      </c>
      <c r="G1140" s="16" t="inlineStr">
        <is>
          <t>Bandra</t>
        </is>
      </c>
      <c r="H1140" s="16" t="n">
        <v>10.05</v>
      </c>
      <c r="I1140" s="16" t="n">
        <v>1080</v>
      </c>
      <c r="J1140" s="16" t="n">
        <v>1260</v>
      </c>
      <c r="K1140" s="18" t="n">
        <v>1087.1</v>
      </c>
      <c r="L1140" s="18" t="n">
        <v>0</v>
      </c>
      <c r="M1140" s="16" t="inlineStr">
        <is>
          <t>Yes</t>
        </is>
      </c>
      <c r="N1140" s="17" t="n">
        <v>0.484</v>
      </c>
      <c r="O1140" s="17" t="n">
        <v>0.654</v>
      </c>
      <c r="P1140" s="18" t="n">
        <v>3.1</v>
      </c>
    </row>
    <row r="1141">
      <c r="B1141" s="10" t="inlineStr">
        <is>
          <t>MUM</t>
        </is>
      </c>
      <c r="C1141" s="10" t="inlineStr">
        <is>
          <t>VEH-MUM-014</t>
        </is>
      </c>
      <c r="D1141" s="10" t="n">
        <v>26</v>
      </c>
      <c r="E1141" s="10" t="inlineStr">
        <is>
          <t>ORD-MUM-002393</t>
        </is>
      </c>
      <c r="F1141" s="10" t="inlineStr">
        <is>
          <t>ECOM_B2C</t>
        </is>
      </c>
      <c r="G1141" s="10" t="inlineStr">
        <is>
          <t>Bandra</t>
        </is>
      </c>
      <c r="H1141" s="10" t="n">
        <v>2.43</v>
      </c>
      <c r="I1141" s="10" t="n">
        <v>1080</v>
      </c>
      <c r="J1141" s="10" t="n">
        <v>1260</v>
      </c>
      <c r="K1141" s="12" t="n">
        <v>1093.9</v>
      </c>
      <c r="L1141" s="12" t="n">
        <v>0</v>
      </c>
      <c r="M1141" s="10" t="inlineStr">
        <is>
          <t>Yes</t>
        </is>
      </c>
      <c r="N1141" s="11" t="n">
        <v>0.457</v>
      </c>
      <c r="O1141" s="11" t="n">
        <v>0.617</v>
      </c>
      <c r="P1141" s="12" t="n">
        <v>2.9</v>
      </c>
    </row>
    <row r="1142">
      <c r="B1142" s="16" t="inlineStr">
        <is>
          <t>MUM</t>
        </is>
      </c>
      <c r="C1142" s="16" t="inlineStr">
        <is>
          <t>VEH-MUM-014</t>
        </is>
      </c>
      <c r="D1142" s="16" t="n">
        <v>27</v>
      </c>
      <c r="E1142" s="16" t="inlineStr">
        <is>
          <t>ORD-MUM-002381</t>
        </is>
      </c>
      <c r="F1142" s="16" t="inlineStr">
        <is>
          <t>ECOM_B2C</t>
        </is>
      </c>
      <c r="G1142" s="16" t="inlineStr">
        <is>
          <t>Bandra</t>
        </is>
      </c>
      <c r="H1142" s="16" t="n">
        <v>1.3</v>
      </c>
      <c r="I1142" s="16" t="n">
        <v>1080</v>
      </c>
      <c r="J1142" s="16" t="n">
        <v>1200</v>
      </c>
      <c r="K1142" s="18" t="n">
        <v>1104.4</v>
      </c>
      <c r="L1142" s="18" t="n">
        <v>0</v>
      </c>
      <c r="M1142" s="16" t="inlineStr">
        <is>
          <t>Yes</t>
        </is>
      </c>
      <c r="N1142" s="17" t="n">
        <v>1.018</v>
      </c>
      <c r="O1142" s="17" t="n">
        <v>1.374</v>
      </c>
      <c r="P1142" s="18" t="n">
        <v>6.4</v>
      </c>
    </row>
    <row r="1143">
      <c r="B1143" s="10" t="inlineStr">
        <is>
          <t>MUM</t>
        </is>
      </c>
      <c r="C1143" s="10" t="inlineStr">
        <is>
          <t>VEH-MUM-014</t>
        </is>
      </c>
      <c r="D1143" s="10" t="n">
        <v>28</v>
      </c>
      <c r="E1143" s="10" t="inlineStr">
        <is>
          <t>ORD-MUM-002353</t>
        </is>
      </c>
      <c r="F1143" s="10" t="inlineStr">
        <is>
          <t>ECOM_B2C</t>
        </is>
      </c>
      <c r="G1143" s="10" t="inlineStr">
        <is>
          <t>Bandra</t>
        </is>
      </c>
      <c r="H1143" s="10" t="n">
        <v>1.17</v>
      </c>
      <c r="I1143" s="10" t="n">
        <v>1080</v>
      </c>
      <c r="J1143" s="10" t="n">
        <v>1200</v>
      </c>
      <c r="K1143" s="12" t="n">
        <v>1130.8</v>
      </c>
      <c r="L1143" s="12" t="n">
        <v>0</v>
      </c>
      <c r="M1143" s="10" t="inlineStr">
        <is>
          <t>Yes</t>
        </is>
      </c>
      <c r="N1143" s="11" t="n">
        <v>3.56</v>
      </c>
      <c r="O1143" s="11" t="n">
        <v>4.805</v>
      </c>
      <c r="P1143" s="12" t="n">
        <v>22.4</v>
      </c>
    </row>
    <row r="1144">
      <c r="B1144" s="16" t="inlineStr">
        <is>
          <t>MUM</t>
        </is>
      </c>
      <c r="C1144" s="16" t="inlineStr">
        <is>
          <t>VEH-MUM-014</t>
        </is>
      </c>
      <c r="D1144" s="16" t="n">
        <v>29</v>
      </c>
      <c r="E1144" s="16" t="inlineStr">
        <is>
          <t>ORD-MUM-002272</t>
        </is>
      </c>
      <c r="F1144" s="16" t="inlineStr">
        <is>
          <t>ECOM_B2C</t>
        </is>
      </c>
      <c r="G1144" s="16" t="inlineStr">
        <is>
          <t>Bandra</t>
        </is>
      </c>
      <c r="H1144" s="16" t="n">
        <v>2.31</v>
      </c>
      <c r="I1144" s="16" t="n">
        <v>1080</v>
      </c>
      <c r="J1144" s="16" t="n">
        <v>1260</v>
      </c>
      <c r="K1144" s="18" t="n">
        <v>1140.8</v>
      </c>
      <c r="L1144" s="18" t="n">
        <v>0</v>
      </c>
      <c r="M1144" s="16" t="inlineStr">
        <is>
          <t>Yes</t>
        </is>
      </c>
      <c r="N1144" s="17" t="n">
        <v>0.95</v>
      </c>
      <c r="O1144" s="17" t="n">
        <v>1.283</v>
      </c>
      <c r="P1144" s="18" t="n">
        <v>6</v>
      </c>
    </row>
    <row r="1145">
      <c r="B1145" s="10" t="inlineStr">
        <is>
          <t>MUM</t>
        </is>
      </c>
      <c r="C1145" s="10" t="inlineStr">
        <is>
          <t>VEH-MUM-014</t>
        </is>
      </c>
      <c r="D1145" s="10" t="n">
        <v>30</v>
      </c>
      <c r="E1145" s="10" t="inlineStr">
        <is>
          <t>ORD-MUM-002251</t>
        </is>
      </c>
      <c r="F1145" s="10" t="inlineStr">
        <is>
          <t>ECOM_B2C</t>
        </is>
      </c>
      <c r="G1145" s="10" t="inlineStr">
        <is>
          <t>Bandra</t>
        </is>
      </c>
      <c r="H1145" s="10" t="n">
        <v>2.26</v>
      </c>
      <c r="I1145" s="10" t="n">
        <v>1080</v>
      </c>
      <c r="J1145" s="10" t="n">
        <v>1260</v>
      </c>
      <c r="K1145" s="12" t="n">
        <v>1146.7</v>
      </c>
      <c r="L1145" s="12" t="n">
        <v>0</v>
      </c>
      <c r="M1145" s="10" t="inlineStr">
        <is>
          <t>Yes</t>
        </is>
      </c>
      <c r="N1145" s="11" t="n">
        <v>0.298</v>
      </c>
      <c r="O1145" s="11" t="n">
        <v>0.402</v>
      </c>
      <c r="P1145" s="12" t="n">
        <v>1.9</v>
      </c>
    </row>
    <row r="1146">
      <c r="B1146" s="16" t="inlineStr">
        <is>
          <t>MUM</t>
        </is>
      </c>
      <c r="C1146" s="16" t="inlineStr">
        <is>
          <t>VEH-MUM-014</t>
        </is>
      </c>
      <c r="D1146" s="16" t="n">
        <v>31</v>
      </c>
      <c r="E1146" s="16" t="inlineStr">
        <is>
          <t>ORD-MUM-002321</t>
        </is>
      </c>
      <c r="F1146" s="16" t="inlineStr">
        <is>
          <t>ECOM_B2C</t>
        </is>
      </c>
      <c r="G1146" s="16" t="inlineStr">
        <is>
          <t>Andheri</t>
        </is>
      </c>
      <c r="H1146" s="16" t="n">
        <v>3.06</v>
      </c>
      <c r="I1146" s="16" t="n">
        <v>1080</v>
      </c>
      <c r="J1146" s="16" t="n">
        <v>1200</v>
      </c>
      <c r="K1146" s="18" t="n">
        <v>1171.7</v>
      </c>
      <c r="L1146" s="18" t="n">
        <v>0</v>
      </c>
      <c r="M1146" s="16" t="inlineStr">
        <is>
          <t>Yes</t>
        </is>
      </c>
      <c r="N1146" s="17" t="n">
        <v>3.333</v>
      </c>
      <c r="O1146" s="17" t="n">
        <v>4.499</v>
      </c>
      <c r="P1146" s="18" t="n">
        <v>21</v>
      </c>
    </row>
    <row r="1147">
      <c r="B1147" s="10" t="inlineStr">
        <is>
          <t>MUM</t>
        </is>
      </c>
      <c r="C1147" s="10" t="inlineStr">
        <is>
          <t>VEH-MUM-014</t>
        </is>
      </c>
      <c r="D1147" s="10" t="n">
        <v>32</v>
      </c>
      <c r="E1147" s="10" t="inlineStr">
        <is>
          <t>ORD-MUM-002337</t>
        </is>
      </c>
      <c r="F1147" s="10" t="inlineStr">
        <is>
          <t>ECOM_B2C</t>
        </is>
      </c>
      <c r="G1147" s="10" t="inlineStr">
        <is>
          <t>Andheri</t>
        </is>
      </c>
      <c r="H1147" s="10" t="n">
        <v>0.5600000000000001</v>
      </c>
      <c r="I1147" s="10" t="n">
        <v>1080</v>
      </c>
      <c r="J1147" s="10" t="n">
        <v>1200</v>
      </c>
      <c r="K1147" s="12" t="n">
        <v>1178.7</v>
      </c>
      <c r="L1147" s="12" t="n">
        <v>0</v>
      </c>
      <c r="M1147" s="10" t="inlineStr">
        <is>
          <t>Yes</t>
        </is>
      </c>
      <c r="N1147" s="11" t="n">
        <v>0.476</v>
      </c>
      <c r="O1147" s="11" t="n">
        <v>0.643</v>
      </c>
      <c r="P1147" s="12" t="n">
        <v>3</v>
      </c>
    </row>
    <row r="1148">
      <c r="B1148" s="16" t="inlineStr">
        <is>
          <t>MUM</t>
        </is>
      </c>
      <c r="C1148" s="16" t="inlineStr">
        <is>
          <t>VEH-MUM-015</t>
        </is>
      </c>
      <c r="D1148" s="16" t="n">
        <v>1</v>
      </c>
      <c r="E1148" s="16" t="inlineStr">
        <is>
          <t>ORD-MUM-002341</t>
        </is>
      </c>
      <c r="F1148" s="16" t="inlineStr">
        <is>
          <t>ECOM_B2C</t>
        </is>
      </c>
      <c r="G1148" s="16" t="inlineStr">
        <is>
          <t>Thane</t>
        </is>
      </c>
      <c r="H1148" s="16" t="n">
        <v>10.37</v>
      </c>
      <c r="I1148" s="16" t="n">
        <v>900</v>
      </c>
      <c r="J1148" s="16" t="n">
        <v>1080</v>
      </c>
      <c r="K1148" s="18" t="n">
        <v>900</v>
      </c>
      <c r="L1148" s="18" t="n">
        <v>0</v>
      </c>
      <c r="M1148" s="16" t="inlineStr">
        <is>
          <t>Yes</t>
        </is>
      </c>
      <c r="N1148" s="17" t="n">
        <v>13.102</v>
      </c>
      <c r="O1148" s="17" t="n">
        <v>17.687</v>
      </c>
      <c r="P1148" s="18" t="n">
        <v>38.1</v>
      </c>
    </row>
    <row r="1149">
      <c r="B1149" s="10" t="inlineStr">
        <is>
          <t>MUM</t>
        </is>
      </c>
      <c r="C1149" s="10" t="inlineStr">
        <is>
          <t>VEH-MUM-015</t>
        </is>
      </c>
      <c r="D1149" s="10" t="n">
        <v>2</v>
      </c>
      <c r="E1149" s="10" t="inlineStr">
        <is>
          <t>ORD-MUM-002397</t>
        </is>
      </c>
      <c r="F1149" s="10" t="inlineStr">
        <is>
          <t>ECOM_B2C</t>
        </is>
      </c>
      <c r="G1149" s="10" t="inlineStr">
        <is>
          <t>Thane</t>
        </is>
      </c>
      <c r="H1149" s="10" t="n">
        <v>5.16</v>
      </c>
      <c r="I1149" s="10" t="n">
        <v>1080</v>
      </c>
      <c r="J1149" s="10" t="n">
        <v>1260</v>
      </c>
      <c r="K1149" s="12" t="n">
        <v>907.3</v>
      </c>
      <c r="L1149" s="12" t="n">
        <v>0</v>
      </c>
      <c r="M1149" s="10" t="inlineStr">
        <is>
          <t>Yes</t>
        </is>
      </c>
      <c r="N1149" s="11" t="n">
        <v>1.124</v>
      </c>
      <c r="O1149" s="11" t="n">
        <v>1.518</v>
      </c>
      <c r="P1149" s="12" t="n">
        <v>3.3</v>
      </c>
    </row>
    <row r="1150">
      <c r="B1150" s="16" t="inlineStr">
        <is>
          <t>MUM</t>
        </is>
      </c>
      <c r="C1150" s="16" t="inlineStr">
        <is>
          <t>VEH-MUM-015</t>
        </is>
      </c>
      <c r="D1150" s="16" t="n">
        <v>3</v>
      </c>
      <c r="E1150" s="16" t="inlineStr">
        <is>
          <t>ORD-MUM-002359</t>
        </is>
      </c>
      <c r="F1150" s="16" t="inlineStr">
        <is>
          <t>ECOM_B2C</t>
        </is>
      </c>
      <c r="G1150" s="16" t="inlineStr">
        <is>
          <t>Andheri</t>
        </is>
      </c>
      <c r="H1150" s="16" t="n">
        <v>1.04</v>
      </c>
      <c r="I1150" s="16" t="n">
        <v>1080</v>
      </c>
      <c r="J1150" s="16" t="n">
        <v>1260</v>
      </c>
      <c r="K1150" s="18" t="n">
        <v>1156.8</v>
      </c>
      <c r="L1150" s="18" t="n">
        <v>0</v>
      </c>
      <c r="M1150" s="16" t="inlineStr">
        <is>
          <t>Yes</t>
        </is>
      </c>
      <c r="N1150" s="17" t="n">
        <v>12.357</v>
      </c>
      <c r="O1150" s="17" t="n">
        <v>16.682</v>
      </c>
      <c r="P1150" s="18" t="n">
        <v>72.8</v>
      </c>
    </row>
    <row r="1151">
      <c r="B1151" s="10" t="inlineStr">
        <is>
          <t>MUM</t>
        </is>
      </c>
      <c r="C1151" s="10" t="inlineStr">
        <is>
          <t>VEH-MUM-015</t>
        </is>
      </c>
      <c r="D1151" s="10" t="n">
        <v>4</v>
      </c>
      <c r="E1151" s="10" t="inlineStr">
        <is>
          <t>ORD-MUM-002282</t>
        </is>
      </c>
      <c r="F1151" s="10" t="inlineStr">
        <is>
          <t>ECOM_B2C</t>
        </is>
      </c>
      <c r="G1151" s="10" t="inlineStr">
        <is>
          <t>Andheri</t>
        </is>
      </c>
      <c r="H1151" s="10" t="n">
        <v>2.94</v>
      </c>
      <c r="I1151" s="10" t="n">
        <v>1080</v>
      </c>
      <c r="J1151" s="10" t="n">
        <v>1260</v>
      </c>
      <c r="K1151" s="12" t="n">
        <v>1160.8</v>
      </c>
      <c r="L1151" s="12" t="n">
        <v>0</v>
      </c>
      <c r="M1151" s="10" t="inlineStr">
        <is>
          <t>Yes</t>
        </is>
      </c>
      <c r="N1151" s="11" t="n">
        <v>0</v>
      </c>
      <c r="O1151" s="11" t="n">
        <v>0</v>
      </c>
      <c r="P1151" s="12" t="n">
        <v>0</v>
      </c>
    </row>
    <row r="1152">
      <c r="B1152" s="16" t="inlineStr">
        <is>
          <t>MUM</t>
        </is>
      </c>
      <c r="C1152" s="16" t="inlineStr">
        <is>
          <t>VEH-MUM-015</t>
        </is>
      </c>
      <c r="D1152" s="16" t="n">
        <v>5</v>
      </c>
      <c r="E1152" s="16" t="inlineStr">
        <is>
          <t>ORD-MUM-002257</t>
        </is>
      </c>
      <c r="F1152" s="16" t="inlineStr">
        <is>
          <t>ECOM_B2C</t>
        </is>
      </c>
      <c r="G1152" s="16" t="inlineStr">
        <is>
          <t>Andheri</t>
        </is>
      </c>
      <c r="H1152" s="16" t="n">
        <v>2.85</v>
      </c>
      <c r="I1152" s="16" t="n">
        <v>1080</v>
      </c>
      <c r="J1152" s="16" t="n">
        <v>1200</v>
      </c>
      <c r="K1152" s="18" t="n">
        <v>1167.5</v>
      </c>
      <c r="L1152" s="18" t="n">
        <v>0</v>
      </c>
      <c r="M1152" s="16" t="inlineStr">
        <is>
          <t>Yes</t>
        </is>
      </c>
      <c r="N1152" s="17" t="n">
        <v>0.451</v>
      </c>
      <c r="O1152" s="17" t="n">
        <v>0.609</v>
      </c>
      <c r="P1152" s="18" t="n">
        <v>2.7</v>
      </c>
    </row>
    <row r="1153">
      <c r="B1153" s="10" t="inlineStr">
        <is>
          <t>MUM</t>
        </is>
      </c>
      <c r="C1153" s="10" t="inlineStr">
        <is>
          <t>VEH-MUM-015</t>
        </is>
      </c>
      <c r="D1153" s="10" t="n">
        <v>6</v>
      </c>
      <c r="E1153" s="10" t="inlineStr">
        <is>
          <t>ORD-MUM-002318</t>
        </is>
      </c>
      <c r="F1153" s="10" t="inlineStr">
        <is>
          <t>ECOM_B2C</t>
        </is>
      </c>
      <c r="G1153" s="10" t="inlineStr">
        <is>
          <t>Andheri</t>
        </is>
      </c>
      <c r="H1153" s="10" t="n">
        <v>1.1</v>
      </c>
      <c r="I1153" s="10" t="n">
        <v>1080</v>
      </c>
      <c r="J1153" s="10" t="n">
        <v>1200</v>
      </c>
      <c r="K1153" s="12" t="n">
        <v>1172.8</v>
      </c>
      <c r="L1153" s="12" t="n">
        <v>0</v>
      </c>
      <c r="M1153" s="10" t="inlineStr">
        <is>
          <t>Yes</t>
        </is>
      </c>
      <c r="N1153" s="11" t="n">
        <v>0.23</v>
      </c>
      <c r="O1153" s="11" t="n">
        <v>0.311</v>
      </c>
      <c r="P1153" s="12" t="n">
        <v>1.4</v>
      </c>
    </row>
    <row r="1154">
      <c r="B1154" s="16" t="inlineStr">
        <is>
          <t>MUM</t>
        </is>
      </c>
      <c r="C1154" s="16" t="inlineStr">
        <is>
          <t>VEH-MUM-016</t>
        </is>
      </c>
      <c r="D1154" s="16" t="n">
        <v>1</v>
      </c>
      <c r="E1154" s="16" t="inlineStr">
        <is>
          <t>ORD-MUM-002331</t>
        </is>
      </c>
      <c r="F1154" s="16" t="inlineStr">
        <is>
          <t>ECOM_B2C</t>
        </is>
      </c>
      <c r="G1154" s="16" t="inlineStr">
        <is>
          <t>Andheri</t>
        </is>
      </c>
      <c r="H1154" s="16" t="n">
        <v>6.39</v>
      </c>
      <c r="I1154" s="16" t="n">
        <v>540</v>
      </c>
      <c r="J1154" s="16" t="n">
        <v>720</v>
      </c>
      <c r="K1154" s="18" t="n">
        <v>540</v>
      </c>
      <c r="L1154" s="18" t="n">
        <v>0</v>
      </c>
      <c r="M1154" s="16" t="inlineStr">
        <is>
          <t>Yes</t>
        </is>
      </c>
      <c r="N1154" s="17" t="n">
        <v>0.736</v>
      </c>
      <c r="O1154" s="17" t="n">
        <v>0.993</v>
      </c>
      <c r="P1154" s="18" t="n">
        <v>3.5</v>
      </c>
    </row>
    <row r="1155">
      <c r="B1155" s="10" t="inlineStr">
        <is>
          <t>MUM</t>
        </is>
      </c>
      <c r="C1155" s="10" t="inlineStr">
        <is>
          <t>VEH-MUM-016</t>
        </is>
      </c>
      <c r="D1155" s="10" t="n">
        <v>2</v>
      </c>
      <c r="E1155" s="10" t="inlineStr">
        <is>
          <t>ORD-MUM-002273</t>
        </is>
      </c>
      <c r="F1155" s="10" t="inlineStr">
        <is>
          <t>ECOM_B2C</t>
        </is>
      </c>
      <c r="G1155" s="10" t="inlineStr">
        <is>
          <t>Andheri</t>
        </is>
      </c>
      <c r="H1155" s="10" t="n">
        <v>2.04</v>
      </c>
      <c r="I1155" s="10" t="n">
        <v>540</v>
      </c>
      <c r="J1155" s="10" t="n">
        <v>720</v>
      </c>
      <c r="K1155" s="12" t="n">
        <v>552.8</v>
      </c>
      <c r="L1155" s="12" t="n">
        <v>0</v>
      </c>
      <c r="M1155" s="10" t="inlineStr">
        <is>
          <t>Yes</t>
        </is>
      </c>
      <c r="N1155" s="11" t="n">
        <v>1.833</v>
      </c>
      <c r="O1155" s="11" t="n">
        <v>2.474</v>
      </c>
      <c r="P1155" s="12" t="n">
        <v>8.800000000000001</v>
      </c>
    </row>
    <row r="1156">
      <c r="B1156" s="16" t="inlineStr">
        <is>
          <t>MUM</t>
        </is>
      </c>
      <c r="C1156" s="16" t="inlineStr">
        <is>
          <t>VEH-MUM-016</t>
        </is>
      </c>
      <c r="D1156" s="16" t="n">
        <v>3</v>
      </c>
      <c r="E1156" s="16" t="inlineStr">
        <is>
          <t>ORD-MUM-002344</t>
        </is>
      </c>
      <c r="F1156" s="16" t="inlineStr">
        <is>
          <t>ECOM_B2C</t>
        </is>
      </c>
      <c r="G1156" s="16" t="inlineStr">
        <is>
          <t>Andheri</t>
        </is>
      </c>
      <c r="H1156" s="16" t="n">
        <v>9.81</v>
      </c>
      <c r="I1156" s="16" t="n">
        <v>540</v>
      </c>
      <c r="J1156" s="16" t="n">
        <v>720</v>
      </c>
      <c r="K1156" s="18" t="n">
        <v>568.6</v>
      </c>
      <c r="L1156" s="18" t="n">
        <v>0</v>
      </c>
      <c r="M1156" s="16" t="inlineStr">
        <is>
          <t>Yes</t>
        </is>
      </c>
      <c r="N1156" s="17" t="n">
        <v>2.441</v>
      </c>
      <c r="O1156" s="17" t="n">
        <v>3.295</v>
      </c>
      <c r="P1156" s="18" t="n">
        <v>11.8</v>
      </c>
    </row>
    <row r="1157">
      <c r="B1157" s="10" t="inlineStr">
        <is>
          <t>MUM</t>
        </is>
      </c>
      <c r="C1157" s="10" t="inlineStr">
        <is>
          <t>VEH-MUM-016</t>
        </is>
      </c>
      <c r="D1157" s="10" t="n">
        <v>4</v>
      </c>
      <c r="E1157" s="10" t="inlineStr">
        <is>
          <t>ORD-MUM-002271</t>
        </is>
      </c>
      <c r="F1157" s="10" t="inlineStr">
        <is>
          <t>ECOM_B2C</t>
        </is>
      </c>
      <c r="G1157" s="10" t="inlineStr">
        <is>
          <t>Andheri</t>
        </is>
      </c>
      <c r="H1157" s="10" t="n">
        <v>2.94</v>
      </c>
      <c r="I1157" s="10" t="n">
        <v>540</v>
      </c>
      <c r="J1157" s="10" t="n">
        <v>720</v>
      </c>
      <c r="K1157" s="12" t="n">
        <v>577.1</v>
      </c>
      <c r="L1157" s="12" t="n">
        <v>0</v>
      </c>
      <c r="M1157" s="10" t="inlineStr">
        <is>
          <t>Yes</t>
        </is>
      </c>
      <c r="N1157" s="11" t="n">
        <v>0.9419999999999999</v>
      </c>
      <c r="O1157" s="11" t="n">
        <v>1.272</v>
      </c>
      <c r="P1157" s="12" t="n">
        <v>4.5</v>
      </c>
    </row>
    <row r="1158">
      <c r="B1158" s="16" t="inlineStr">
        <is>
          <t>MUM</t>
        </is>
      </c>
      <c r="C1158" s="16" t="inlineStr">
        <is>
          <t>VEH-MUM-016</t>
        </is>
      </c>
      <c r="D1158" s="16" t="n">
        <v>5</v>
      </c>
      <c r="E1158" s="16" t="inlineStr">
        <is>
          <t>ORD-MUM-002414</t>
        </is>
      </c>
      <c r="F1158" s="16" t="inlineStr">
        <is>
          <t>ECOM_B2C</t>
        </is>
      </c>
      <c r="G1158" s="16" t="inlineStr">
        <is>
          <t>Andheri</t>
        </is>
      </c>
      <c r="H1158" s="16" t="n">
        <v>0.7</v>
      </c>
      <c r="I1158" s="16" t="n">
        <v>600</v>
      </c>
      <c r="J1158" s="16" t="n">
        <v>720</v>
      </c>
      <c r="K1158" s="18" t="n">
        <v>585.3</v>
      </c>
      <c r="L1158" s="18" t="n">
        <v>0</v>
      </c>
      <c r="M1158" s="16" t="inlineStr">
        <is>
          <t>Yes</t>
        </is>
      </c>
      <c r="N1158" s="17" t="n">
        <v>0.856</v>
      </c>
      <c r="O1158" s="17" t="n">
        <v>1.156</v>
      </c>
      <c r="P1158" s="18" t="n">
        <v>4.1</v>
      </c>
    </row>
    <row r="1159">
      <c r="B1159" s="10" t="inlineStr">
        <is>
          <t>MUM</t>
        </is>
      </c>
      <c r="C1159" s="10" t="inlineStr">
        <is>
          <t>VEH-MUM-016</t>
        </is>
      </c>
      <c r="D1159" s="10" t="n">
        <v>6</v>
      </c>
      <c r="E1159" s="10" t="inlineStr">
        <is>
          <t>ORD-MUM-002313</t>
        </is>
      </c>
      <c r="F1159" s="10" t="inlineStr">
        <is>
          <t>ECOM_B2C</t>
        </is>
      </c>
      <c r="G1159" s="10" t="inlineStr">
        <is>
          <t>Thane</t>
        </is>
      </c>
      <c r="H1159" s="10" t="n">
        <v>4.32</v>
      </c>
      <c r="I1159" s="10" t="n">
        <v>540</v>
      </c>
      <c r="J1159" s="10" t="n">
        <v>720</v>
      </c>
      <c r="K1159" s="12" t="n">
        <v>673.2</v>
      </c>
      <c r="L1159" s="12" t="n">
        <v>0</v>
      </c>
      <c r="M1159" s="10" t="inlineStr">
        <is>
          <t>Yes</t>
        </is>
      </c>
      <c r="N1159" s="11" t="n">
        <v>14.527</v>
      </c>
      <c r="O1159" s="11" t="n">
        <v>19.611</v>
      </c>
      <c r="P1159" s="12" t="n">
        <v>69.2</v>
      </c>
    </row>
    <row r="1160">
      <c r="B1160" s="16" t="inlineStr">
        <is>
          <t>MUM</t>
        </is>
      </c>
      <c r="C1160" s="16" t="inlineStr">
        <is>
          <t>VEH-MUM-016</t>
        </is>
      </c>
      <c r="D1160" s="16" t="n">
        <v>7</v>
      </c>
      <c r="E1160" s="16" t="inlineStr">
        <is>
          <t>ORD-MUM-002365</t>
        </is>
      </c>
      <c r="F1160" s="16" t="inlineStr">
        <is>
          <t>ECOM_B2C</t>
        </is>
      </c>
      <c r="G1160" s="16" t="inlineStr">
        <is>
          <t>Thane</t>
        </is>
      </c>
      <c r="H1160" s="16" t="n">
        <v>1.85</v>
      </c>
      <c r="I1160" s="16" t="n">
        <v>720</v>
      </c>
      <c r="J1160" s="16" t="n">
        <v>900</v>
      </c>
      <c r="K1160" s="18" t="n">
        <v>677.2</v>
      </c>
      <c r="L1160" s="18" t="n">
        <v>0</v>
      </c>
      <c r="M1160" s="16" t="inlineStr">
        <is>
          <t>Yes</t>
        </is>
      </c>
      <c r="N1160" s="17" t="n">
        <v>0</v>
      </c>
      <c r="O1160" s="17" t="n">
        <v>0</v>
      </c>
      <c r="P1160" s="18" t="n">
        <v>0</v>
      </c>
    </row>
    <row r="1161">
      <c r="B1161" s="10" t="inlineStr">
        <is>
          <t>MUM</t>
        </is>
      </c>
      <c r="C1161" s="10" t="inlineStr">
        <is>
          <t>VEH-MUM-017</t>
        </is>
      </c>
      <c r="D1161" s="10" t="n">
        <v>1</v>
      </c>
      <c r="E1161" s="10" t="inlineStr">
        <is>
          <t>ORD-MUM-002290</t>
        </is>
      </c>
      <c r="F1161" s="10" t="inlineStr">
        <is>
          <t>ECOM_B2C</t>
        </is>
      </c>
      <c r="G1161" s="10" t="inlineStr">
        <is>
          <t>Andheri</t>
        </is>
      </c>
      <c r="H1161" s="10" t="n">
        <v>8.880000000000001</v>
      </c>
      <c r="I1161" s="10" t="n">
        <v>900</v>
      </c>
      <c r="J1161" s="10" t="n">
        <v>1080</v>
      </c>
      <c r="K1161" s="12" t="n">
        <v>900</v>
      </c>
      <c r="L1161" s="12" t="n">
        <v>0</v>
      </c>
      <c r="M1161" s="10" t="inlineStr">
        <is>
          <t>Yes</t>
        </is>
      </c>
      <c r="N1161" s="11" t="n">
        <v>2.173</v>
      </c>
      <c r="O1161" s="11" t="n">
        <v>2.933</v>
      </c>
      <c r="P1161" s="12" t="n">
        <v>6.4</v>
      </c>
    </row>
    <row r="1162">
      <c r="B1162" s="16" t="inlineStr">
        <is>
          <t>MUM</t>
        </is>
      </c>
      <c r="C1162" s="16" t="inlineStr">
        <is>
          <t>VEH-MUM-017</t>
        </is>
      </c>
      <c r="D1162" s="16" t="n">
        <v>2</v>
      </c>
      <c r="E1162" s="16" t="inlineStr">
        <is>
          <t>ORD-MUM-002402</t>
        </is>
      </c>
      <c r="F1162" s="16" t="inlineStr">
        <is>
          <t>ECOM_B2C</t>
        </is>
      </c>
      <c r="G1162" s="16" t="inlineStr">
        <is>
          <t>Bandra</t>
        </is>
      </c>
      <c r="H1162" s="16" t="n">
        <v>0.52</v>
      </c>
      <c r="I1162" s="16" t="n">
        <v>900</v>
      </c>
      <c r="J1162" s="16" t="n">
        <v>1080</v>
      </c>
      <c r="K1162" s="18" t="n">
        <v>914.2</v>
      </c>
      <c r="L1162" s="18" t="n">
        <v>0</v>
      </c>
      <c r="M1162" s="16" t="inlineStr">
        <is>
          <t>Yes</t>
        </is>
      </c>
      <c r="N1162" s="17" t="n">
        <v>3.482</v>
      </c>
      <c r="O1162" s="17" t="n">
        <v>4.701</v>
      </c>
      <c r="P1162" s="18" t="n">
        <v>10.2</v>
      </c>
    </row>
    <row r="1163">
      <c r="B1163" s="10" t="inlineStr">
        <is>
          <t>MUM</t>
        </is>
      </c>
      <c r="C1163" s="10" t="inlineStr">
        <is>
          <t>VEH-MUM-017</t>
        </is>
      </c>
      <c r="D1163" s="10" t="n">
        <v>3</v>
      </c>
      <c r="E1163" s="10" t="inlineStr">
        <is>
          <t>ORD-MUM-002279</t>
        </is>
      </c>
      <c r="F1163" s="10" t="inlineStr">
        <is>
          <t>ECOM_B2C</t>
        </is>
      </c>
      <c r="G1163" s="10" t="inlineStr">
        <is>
          <t>South Mumbai</t>
        </is>
      </c>
      <c r="H1163" s="10" t="n">
        <v>1.73</v>
      </c>
      <c r="I1163" s="10" t="n">
        <v>900</v>
      </c>
      <c r="J1163" s="10" t="n">
        <v>1080</v>
      </c>
      <c r="K1163" s="12" t="n">
        <v>971.9</v>
      </c>
      <c r="L1163" s="12" t="n">
        <v>0</v>
      </c>
      <c r="M1163" s="10" t="inlineStr">
        <is>
          <t>Yes</t>
        </is>
      </c>
      <c r="N1163" s="11" t="n">
        <v>17.738</v>
      </c>
      <c r="O1163" s="11" t="n">
        <v>23.946</v>
      </c>
      <c r="P1163" s="12" t="n">
        <v>53.7</v>
      </c>
    </row>
    <row r="1164">
      <c r="B1164" s="16" t="inlineStr">
        <is>
          <t>MUM</t>
        </is>
      </c>
      <c r="C1164" s="16" t="inlineStr">
        <is>
          <t>VEH-MUM-017</t>
        </is>
      </c>
      <c r="D1164" s="16" t="n">
        <v>4</v>
      </c>
      <c r="E1164" s="16" t="inlineStr">
        <is>
          <t>ORD-MUM-002376</t>
        </is>
      </c>
      <c r="F1164" s="16" t="inlineStr">
        <is>
          <t>ECOM_B2C</t>
        </is>
      </c>
      <c r="G1164" s="16" t="inlineStr">
        <is>
          <t>South Mumbai</t>
        </is>
      </c>
      <c r="H1164" s="16" t="n">
        <v>3.68</v>
      </c>
      <c r="I1164" s="16" t="n">
        <v>1080</v>
      </c>
      <c r="J1164" s="16" t="n">
        <v>1260</v>
      </c>
      <c r="K1164" s="18" t="n">
        <v>977.7</v>
      </c>
      <c r="L1164" s="18" t="n">
        <v>0</v>
      </c>
      <c r="M1164" s="16" t="inlineStr">
        <is>
          <t>Yes</t>
        </is>
      </c>
      <c r="N1164" s="17" t="n">
        <v>0.6</v>
      </c>
      <c r="O1164" s="17" t="n">
        <v>0.8100000000000001</v>
      </c>
      <c r="P1164" s="18" t="n">
        <v>1.8</v>
      </c>
    </row>
    <row r="1165">
      <c r="B1165" s="10" t="inlineStr">
        <is>
          <t>MUM</t>
        </is>
      </c>
      <c r="C1165" s="10" t="inlineStr">
        <is>
          <t>VEH-MUM-017</t>
        </is>
      </c>
      <c r="D1165" s="10" t="n">
        <v>5</v>
      </c>
      <c r="E1165" s="10" t="inlineStr">
        <is>
          <t>ORD-MUM-002355</t>
        </is>
      </c>
      <c r="F1165" s="10" t="inlineStr">
        <is>
          <t>ECOM_B2C</t>
        </is>
      </c>
      <c r="G1165" s="10" t="inlineStr">
        <is>
          <t>South Mumbai</t>
        </is>
      </c>
      <c r="H1165" s="10" t="n">
        <v>2.54</v>
      </c>
      <c r="I1165" s="10" t="n">
        <v>1080</v>
      </c>
      <c r="J1165" s="10" t="n">
        <v>1260</v>
      </c>
      <c r="K1165" s="12" t="n">
        <v>1090.2</v>
      </c>
      <c r="L1165" s="12" t="n">
        <v>0</v>
      </c>
      <c r="M1165" s="10" t="inlineStr">
        <is>
          <t>Yes</t>
        </is>
      </c>
      <c r="N1165" s="11" t="n">
        <v>1.022</v>
      </c>
      <c r="O1165" s="11" t="n">
        <v>1.379</v>
      </c>
      <c r="P1165" s="12" t="n">
        <v>6.2</v>
      </c>
    </row>
    <row r="1166">
      <c r="B1166" s="16" t="inlineStr">
        <is>
          <t>MUM</t>
        </is>
      </c>
      <c r="C1166" s="16" t="inlineStr">
        <is>
          <t>VEH-MUM-017</t>
        </is>
      </c>
      <c r="D1166" s="16" t="n">
        <v>6</v>
      </c>
      <c r="E1166" s="16" t="inlineStr">
        <is>
          <t>ORD-MUM-002401</t>
        </is>
      </c>
      <c r="F1166" s="16" t="inlineStr">
        <is>
          <t>ECOM_B2C</t>
        </is>
      </c>
      <c r="G1166" s="16" t="inlineStr">
        <is>
          <t>South Mumbai</t>
        </is>
      </c>
      <c r="H1166" s="16" t="n">
        <v>5.49</v>
      </c>
      <c r="I1166" s="16" t="n">
        <v>1080</v>
      </c>
      <c r="J1166" s="16" t="n">
        <v>1260</v>
      </c>
      <c r="K1166" s="18" t="n">
        <v>1115.3</v>
      </c>
      <c r="L1166" s="18" t="n">
        <v>0</v>
      </c>
      <c r="M1166" s="16" t="inlineStr">
        <is>
          <t>Yes</t>
        </is>
      </c>
      <c r="N1166" s="17" t="n">
        <v>3.484</v>
      </c>
      <c r="O1166" s="17" t="n">
        <v>4.703</v>
      </c>
      <c r="P1166" s="18" t="n">
        <v>21.1</v>
      </c>
    </row>
    <row r="1167">
      <c r="B1167" s="10" t="inlineStr">
        <is>
          <t>MUM</t>
        </is>
      </c>
      <c r="C1167" s="10" t="inlineStr">
        <is>
          <t>VEH-MUM-017</t>
        </is>
      </c>
      <c r="D1167" s="10" t="n">
        <v>7</v>
      </c>
      <c r="E1167" s="10" t="inlineStr">
        <is>
          <t>ORD-MUM-002285</t>
        </is>
      </c>
      <c r="F1167" s="10" t="inlineStr">
        <is>
          <t>ECOM_B2C</t>
        </is>
      </c>
      <c r="G1167" s="10" t="inlineStr">
        <is>
          <t>South Mumbai</t>
        </is>
      </c>
      <c r="H1167" s="10" t="n">
        <v>1.56</v>
      </c>
      <c r="I1167" s="10" t="n">
        <v>1080</v>
      </c>
      <c r="J1167" s="10" t="n">
        <v>1260</v>
      </c>
      <c r="K1167" s="12" t="n">
        <v>1120.9</v>
      </c>
      <c r="L1167" s="12" t="n">
        <v>0</v>
      </c>
      <c r="M1167" s="10" t="inlineStr">
        <is>
          <t>Yes</t>
        </is>
      </c>
      <c r="N1167" s="11" t="n">
        <v>0.279</v>
      </c>
      <c r="O1167" s="11" t="n">
        <v>0.377</v>
      </c>
      <c r="P1167" s="12" t="n">
        <v>1.7</v>
      </c>
    </row>
    <row r="1168">
      <c r="B1168" s="16" t="inlineStr">
        <is>
          <t>MUM</t>
        </is>
      </c>
      <c r="C1168" s="16" t="inlineStr">
        <is>
          <t>VEH-MUM-017</t>
        </is>
      </c>
      <c r="D1168" s="16" t="n">
        <v>8</v>
      </c>
      <c r="E1168" s="16" t="inlineStr">
        <is>
          <t>ORD-MUM-002315</t>
        </is>
      </c>
      <c r="F1168" s="16" t="inlineStr">
        <is>
          <t>ECOM_B2C</t>
        </is>
      </c>
      <c r="G1168" s="16" t="inlineStr">
        <is>
          <t>South Mumbai</t>
        </is>
      </c>
      <c r="H1168" s="16" t="n">
        <v>2.7</v>
      </c>
      <c r="I1168" s="16" t="n">
        <v>1080</v>
      </c>
      <c r="J1168" s="16" t="n">
        <v>1260</v>
      </c>
      <c r="K1168" s="18" t="n">
        <v>1127.2</v>
      </c>
      <c r="L1168" s="18" t="n">
        <v>0</v>
      </c>
      <c r="M1168" s="16" t="inlineStr">
        <is>
          <t>Yes</t>
        </is>
      </c>
      <c r="N1168" s="17" t="n">
        <v>0.369</v>
      </c>
      <c r="O1168" s="17" t="n">
        <v>0.499</v>
      </c>
      <c r="P1168" s="18" t="n">
        <v>2.2</v>
      </c>
    </row>
    <row r="1169">
      <c r="B1169" s="10" t="inlineStr">
        <is>
          <t>MUM</t>
        </is>
      </c>
      <c r="C1169" s="10" t="inlineStr">
        <is>
          <t>VEH-MUM-017</t>
        </is>
      </c>
      <c r="D1169" s="10" t="n">
        <v>9</v>
      </c>
      <c r="E1169" s="10" t="inlineStr">
        <is>
          <t>ORD-MUM-002375</t>
        </is>
      </c>
      <c r="F1169" s="10" t="inlineStr">
        <is>
          <t>ECOM_B2C</t>
        </is>
      </c>
      <c r="G1169" s="10" t="inlineStr">
        <is>
          <t>South Mumbai</t>
        </is>
      </c>
      <c r="H1169" s="10" t="n">
        <v>1.26</v>
      </c>
      <c r="I1169" s="10" t="n">
        <v>1080</v>
      </c>
      <c r="J1169" s="10" t="n">
        <v>1260</v>
      </c>
      <c r="K1169" s="12" t="n">
        <v>1134</v>
      </c>
      <c r="L1169" s="12" t="n">
        <v>0</v>
      </c>
      <c r="M1169" s="10" t="inlineStr">
        <is>
          <t>Yes</t>
        </is>
      </c>
      <c r="N1169" s="11" t="n">
        <v>0.471</v>
      </c>
      <c r="O1169" s="11" t="n">
        <v>0.636</v>
      </c>
      <c r="P1169" s="12" t="n">
        <v>2.8</v>
      </c>
    </row>
    <row r="1170">
      <c r="B1170" s="16" t="inlineStr">
        <is>
          <t>MUM</t>
        </is>
      </c>
      <c r="C1170" s="16" t="inlineStr">
        <is>
          <t>VEH-MUM-017</t>
        </is>
      </c>
      <c r="D1170" s="16" t="n">
        <v>10</v>
      </c>
      <c r="E1170" s="16" t="inlineStr">
        <is>
          <t>ORD-MUM-002329</t>
        </is>
      </c>
      <c r="F1170" s="16" t="inlineStr">
        <is>
          <t>ECOM_B2C</t>
        </is>
      </c>
      <c r="G1170" s="16" t="inlineStr">
        <is>
          <t>South Mumbai</t>
        </is>
      </c>
      <c r="H1170" s="16" t="n">
        <v>2.22</v>
      </c>
      <c r="I1170" s="16" t="n">
        <v>1080</v>
      </c>
      <c r="J1170" s="16" t="n">
        <v>1260</v>
      </c>
      <c r="K1170" s="18" t="n">
        <v>1153.6</v>
      </c>
      <c r="L1170" s="18" t="n">
        <v>0</v>
      </c>
      <c r="M1170" s="16" t="inlineStr">
        <is>
          <t>Yes</t>
        </is>
      </c>
      <c r="N1170" s="17" t="n">
        <v>2.579</v>
      </c>
      <c r="O1170" s="17" t="n">
        <v>3.481</v>
      </c>
      <c r="P1170" s="18" t="n">
        <v>15.6</v>
      </c>
    </row>
    <row r="1171">
      <c r="B1171" s="10" t="inlineStr">
        <is>
          <t>MUM</t>
        </is>
      </c>
      <c r="C1171" s="10" t="inlineStr">
        <is>
          <t>VEH-MUM-017</t>
        </is>
      </c>
      <c r="D1171" s="10" t="n">
        <v>11</v>
      </c>
      <c r="E1171" s="10" t="inlineStr">
        <is>
          <t>ORD-MUM-002354</t>
        </is>
      </c>
      <c r="F1171" s="10" t="inlineStr">
        <is>
          <t>ECOM_B2C</t>
        </is>
      </c>
      <c r="G1171" s="10" t="inlineStr">
        <is>
          <t>Andheri</t>
        </is>
      </c>
      <c r="H1171" s="10" t="n">
        <v>4.22</v>
      </c>
      <c r="I1171" s="10" t="n">
        <v>1080</v>
      </c>
      <c r="J1171" s="10" t="n">
        <v>1260</v>
      </c>
      <c r="K1171" s="12" t="n">
        <v>1259.4</v>
      </c>
      <c r="L1171" s="12" t="n">
        <v>0</v>
      </c>
      <c r="M1171" s="10" t="inlineStr">
        <is>
          <t>Yes</t>
        </is>
      </c>
      <c r="N1171" s="11" t="n">
        <v>17.274</v>
      </c>
      <c r="O1171" s="11" t="n">
        <v>23.32</v>
      </c>
      <c r="P1171" s="12" t="n">
        <v>101.8</v>
      </c>
    </row>
    <row r="1172">
      <c r="B1172" s="16" t="inlineStr">
        <is>
          <t>MUM</t>
        </is>
      </c>
      <c r="C1172" s="16" t="inlineStr">
        <is>
          <t>VEH-MUM-018</t>
        </is>
      </c>
      <c r="D1172" s="16" t="n">
        <v>1</v>
      </c>
      <c r="E1172" s="16" t="inlineStr">
        <is>
          <t>ORD-MUM-002297</t>
        </is>
      </c>
      <c r="F1172" s="16" t="inlineStr">
        <is>
          <t>ECOM_B2C</t>
        </is>
      </c>
      <c r="G1172" s="16" t="inlineStr">
        <is>
          <t>Navi Mumbai</t>
        </is>
      </c>
      <c r="H1172" s="16" t="n">
        <v>1.75</v>
      </c>
      <c r="I1172" s="16" t="n">
        <v>600</v>
      </c>
      <c r="J1172" s="16" t="n">
        <v>720</v>
      </c>
      <c r="K1172" s="18" t="n">
        <v>600</v>
      </c>
      <c r="L1172" s="18" t="n">
        <v>0</v>
      </c>
      <c r="M1172" s="16" t="inlineStr">
        <is>
          <t>Yes</t>
        </is>
      </c>
      <c r="N1172" s="17" t="n">
        <v>9.618</v>
      </c>
      <c r="O1172" s="17" t="n">
        <v>12.984</v>
      </c>
      <c r="P1172" s="18" t="n">
        <v>52</v>
      </c>
    </row>
    <row r="1173">
      <c r="B1173" s="10" t="inlineStr">
        <is>
          <t>MUM</t>
        </is>
      </c>
      <c r="C1173" s="10" t="inlineStr">
        <is>
          <t>VEH-MUM-018</t>
        </is>
      </c>
      <c r="D1173" s="10" t="n">
        <v>2</v>
      </c>
      <c r="E1173" s="10" t="inlineStr">
        <is>
          <t>ORD-MUM-002259</t>
        </is>
      </c>
      <c r="F1173" s="10" t="inlineStr">
        <is>
          <t>ECOM_B2C</t>
        </is>
      </c>
      <c r="G1173" s="10" t="inlineStr">
        <is>
          <t>Navi Mumbai</t>
        </is>
      </c>
      <c r="H1173" s="10" t="n">
        <v>0.49</v>
      </c>
      <c r="I1173" s="10" t="n">
        <v>540</v>
      </c>
      <c r="J1173" s="10" t="n">
        <v>720</v>
      </c>
      <c r="K1173" s="12" t="n">
        <v>604</v>
      </c>
      <c r="L1173" s="12" t="n">
        <v>0</v>
      </c>
      <c r="M1173" s="10" t="inlineStr">
        <is>
          <t>Yes</t>
        </is>
      </c>
      <c r="N1173" s="11" t="n">
        <v>0</v>
      </c>
      <c r="O1173" s="11" t="n">
        <v>0</v>
      </c>
      <c r="P1173" s="12" t="n">
        <v>0</v>
      </c>
    </row>
    <row r="1174">
      <c r="B1174" s="16" t="inlineStr">
        <is>
          <t>MUM</t>
        </is>
      </c>
      <c r="C1174" s="16" t="inlineStr">
        <is>
          <t>VEH-MUM-018</t>
        </is>
      </c>
      <c r="D1174" s="16" t="n">
        <v>3</v>
      </c>
      <c r="E1174" s="16" t="inlineStr">
        <is>
          <t>ORD-MUM-002444</t>
        </is>
      </c>
      <c r="F1174" s="16" t="inlineStr">
        <is>
          <t>FMCG_RETAIL</t>
        </is>
      </c>
      <c r="G1174" s="16" t="inlineStr">
        <is>
          <t>Thane</t>
        </is>
      </c>
      <c r="H1174" s="16" t="n">
        <v>125.72</v>
      </c>
      <c r="I1174" s="16" t="n">
        <v>600</v>
      </c>
      <c r="J1174" s="16" t="n">
        <v>960</v>
      </c>
      <c r="K1174" s="18" t="n">
        <v>626</v>
      </c>
      <c r="L1174" s="18" t="n">
        <v>0</v>
      </c>
      <c r="M1174" s="16" t="inlineStr">
        <is>
          <t>Yes</t>
        </is>
      </c>
      <c r="N1174" s="17" t="n">
        <v>3.267</v>
      </c>
      <c r="O1174" s="17" t="n">
        <v>4.411</v>
      </c>
      <c r="P1174" s="18" t="n">
        <v>18</v>
      </c>
    </row>
    <row r="1175">
      <c r="B1175" s="10" t="inlineStr">
        <is>
          <t>MUM</t>
        </is>
      </c>
      <c r="C1175" s="10" t="inlineStr">
        <is>
          <t>VEH-MUM-018</t>
        </is>
      </c>
      <c r="D1175" s="10" t="n">
        <v>4</v>
      </c>
      <c r="E1175" s="10" t="inlineStr">
        <is>
          <t>ORD-MUM-002431</t>
        </is>
      </c>
      <c r="F1175" s="10" t="inlineStr">
        <is>
          <t>FMCG_RETAIL</t>
        </is>
      </c>
      <c r="G1175" s="10" t="inlineStr">
        <is>
          <t>Thane</t>
        </is>
      </c>
      <c r="H1175" s="10" t="n">
        <v>191.94</v>
      </c>
      <c r="I1175" s="10" t="n">
        <v>600</v>
      </c>
      <c r="J1175" s="10" t="n">
        <v>960</v>
      </c>
      <c r="K1175" s="12" t="n">
        <v>658.2</v>
      </c>
      <c r="L1175" s="12" t="n">
        <v>0</v>
      </c>
      <c r="M1175" s="10" t="inlineStr">
        <is>
          <t>Yes</t>
        </is>
      </c>
      <c r="N1175" s="11" t="n">
        <v>3.242</v>
      </c>
      <c r="O1175" s="11" t="n">
        <v>4.377</v>
      </c>
      <c r="P1175" s="12" t="n">
        <v>17.8</v>
      </c>
    </row>
    <row r="1176">
      <c r="B1176" s="16" t="inlineStr">
        <is>
          <t>MUM</t>
        </is>
      </c>
      <c r="C1176" s="16" t="inlineStr">
        <is>
          <t>VEH-MUM-018</t>
        </is>
      </c>
      <c r="D1176" s="16" t="n">
        <v>5</v>
      </c>
      <c r="E1176" s="16" t="inlineStr">
        <is>
          <t>ORD-MUM-002430</t>
        </is>
      </c>
      <c r="F1176" s="16" t="inlineStr">
        <is>
          <t>FMCG_RETAIL</t>
        </is>
      </c>
      <c r="G1176" s="16" t="inlineStr">
        <is>
          <t>Thane</t>
        </is>
      </c>
      <c r="H1176" s="16" t="n">
        <v>102.72</v>
      </c>
      <c r="I1176" s="16" t="n">
        <v>540</v>
      </c>
      <c r="J1176" s="16" t="n">
        <v>780</v>
      </c>
      <c r="K1176" s="18" t="n">
        <v>676.7</v>
      </c>
      <c r="L1176" s="18" t="n">
        <v>0</v>
      </c>
      <c r="M1176" s="16" t="inlineStr">
        <is>
          <t>Yes</t>
        </is>
      </c>
      <c r="N1176" s="17" t="n">
        <v>0.531</v>
      </c>
      <c r="O1176" s="17" t="n">
        <v>0.717</v>
      </c>
      <c r="P1176" s="18" t="n">
        <v>1.8</v>
      </c>
    </row>
    <row r="1177">
      <c r="B1177" s="10" t="inlineStr">
        <is>
          <t>MUM</t>
        </is>
      </c>
      <c r="C1177" s="10" t="inlineStr">
        <is>
          <t>VEH-MUM-018</t>
        </is>
      </c>
      <c r="D1177" s="10" t="n">
        <v>6</v>
      </c>
      <c r="E1177" s="10" t="inlineStr">
        <is>
          <t>ORD-MUM-002422</t>
        </is>
      </c>
      <c r="F1177" s="10" t="inlineStr">
        <is>
          <t>FMCG_RETAIL</t>
        </is>
      </c>
      <c r="G1177" s="10" t="inlineStr">
        <is>
          <t>Thane</t>
        </is>
      </c>
      <c r="H1177" s="10" t="n">
        <v>224.59</v>
      </c>
      <c r="I1177" s="10" t="n">
        <v>540</v>
      </c>
      <c r="J1177" s="10" t="n">
        <v>780</v>
      </c>
      <c r="K1177" s="12" t="n">
        <v>690.3</v>
      </c>
      <c r="L1177" s="12" t="n">
        <v>0</v>
      </c>
      <c r="M1177" s="10" t="inlineStr">
        <is>
          <t>Yes</t>
        </is>
      </c>
      <c r="N1177" s="11" t="n">
        <v>0</v>
      </c>
      <c r="O1177" s="11" t="n">
        <v>0</v>
      </c>
      <c r="P1177" s="12" t="n">
        <v>0</v>
      </c>
    </row>
    <row r="1178">
      <c r="B1178" s="16" t="inlineStr">
        <is>
          <t>MUM</t>
        </is>
      </c>
      <c r="C1178" s="16" t="inlineStr">
        <is>
          <t>VEH-MUM-018</t>
        </is>
      </c>
      <c r="D1178" s="16" t="n">
        <v>7</v>
      </c>
      <c r="E1178" s="16" t="inlineStr">
        <is>
          <t>ORD-MUM-002460</t>
        </is>
      </c>
      <c r="F1178" s="16" t="inlineStr">
        <is>
          <t>FMCG_RETAIL</t>
        </is>
      </c>
      <c r="G1178" s="16" t="inlineStr">
        <is>
          <t>Thane</t>
        </is>
      </c>
      <c r="H1178" s="16" t="n">
        <v>193.54</v>
      </c>
      <c r="I1178" s="16" t="n">
        <v>540</v>
      </c>
      <c r="J1178" s="16" t="n">
        <v>780</v>
      </c>
      <c r="K1178" s="18" t="n">
        <v>719.4</v>
      </c>
      <c r="L1178" s="18" t="n">
        <v>0</v>
      </c>
      <c r="M1178" s="16" t="inlineStr">
        <is>
          <t>Yes</t>
        </is>
      </c>
      <c r="N1178" s="17" t="n">
        <v>3.365</v>
      </c>
      <c r="O1178" s="17" t="n">
        <v>4.543</v>
      </c>
      <c r="P1178" s="18" t="n">
        <v>11.3</v>
      </c>
    </row>
    <row r="1179">
      <c r="B1179" s="10" t="inlineStr">
        <is>
          <t>MUM</t>
        </is>
      </c>
      <c r="C1179" s="10" t="inlineStr">
        <is>
          <t>VEH-MUM-018</t>
        </is>
      </c>
      <c r="D1179" s="10" t="n">
        <v>8</v>
      </c>
      <c r="E1179" s="10" t="inlineStr">
        <is>
          <t>ORD-MUM-002435</t>
        </is>
      </c>
      <c r="F1179" s="10" t="inlineStr">
        <is>
          <t>FMCG_RETAIL</t>
        </is>
      </c>
      <c r="G1179" s="10" t="inlineStr">
        <is>
          <t>Thane</t>
        </is>
      </c>
      <c r="H1179" s="10" t="n">
        <v>66.78</v>
      </c>
      <c r="I1179" s="10" t="n">
        <v>600</v>
      </c>
      <c r="J1179" s="10" t="n">
        <v>960</v>
      </c>
      <c r="K1179" s="12" t="n">
        <v>743.1</v>
      </c>
      <c r="L1179" s="12" t="n">
        <v>0</v>
      </c>
      <c r="M1179" s="10" t="inlineStr">
        <is>
          <t>Yes</t>
        </is>
      </c>
      <c r="N1179" s="11" t="n">
        <v>2.061</v>
      </c>
      <c r="O1179" s="11" t="n">
        <v>2.782</v>
      </c>
      <c r="P1179" s="12" t="n">
        <v>6.9</v>
      </c>
    </row>
    <row r="1180">
      <c r="B1180" s="16" t="inlineStr">
        <is>
          <t>MUM</t>
        </is>
      </c>
      <c r="C1180" s="16" t="inlineStr">
        <is>
          <t>VEH-MUM-018</t>
        </is>
      </c>
      <c r="D1180" s="16" t="n">
        <v>9</v>
      </c>
      <c r="E1180" s="16" t="inlineStr">
        <is>
          <t>ORD-MUM-002441</t>
        </is>
      </c>
      <c r="F1180" s="16" t="inlineStr">
        <is>
          <t>FMCG_RETAIL</t>
        </is>
      </c>
      <c r="G1180" s="16" t="inlineStr">
        <is>
          <t>Thane</t>
        </is>
      </c>
      <c r="H1180" s="16" t="n">
        <v>214.28</v>
      </c>
      <c r="I1180" s="16" t="n">
        <v>600</v>
      </c>
      <c r="J1180" s="16" t="n">
        <v>960</v>
      </c>
      <c r="K1180" s="18" t="n">
        <v>755.5</v>
      </c>
      <c r="L1180" s="18" t="n">
        <v>0</v>
      </c>
      <c r="M1180" s="16" t="inlineStr">
        <is>
          <t>Yes</t>
        </is>
      </c>
      <c r="N1180" s="17" t="n">
        <v>0</v>
      </c>
      <c r="O1180" s="17" t="n">
        <v>0</v>
      </c>
      <c r="P1180" s="18" t="n">
        <v>0</v>
      </c>
    </row>
    <row r="1181">
      <c r="B1181" s="10" t="inlineStr">
        <is>
          <t>MUM</t>
        </is>
      </c>
      <c r="C1181" s="10" t="inlineStr">
        <is>
          <t>VEH-MUM-018</t>
        </is>
      </c>
      <c r="D1181" s="10" t="n">
        <v>10</v>
      </c>
      <c r="E1181" s="10" t="inlineStr">
        <is>
          <t>ORD-MUM-002462</t>
        </is>
      </c>
      <c r="F1181" s="10" t="inlineStr">
        <is>
          <t>FMCG_RETAIL</t>
        </is>
      </c>
      <c r="G1181" s="10" t="inlineStr">
        <is>
          <t>Thane</t>
        </is>
      </c>
      <c r="H1181" s="10" t="n">
        <v>185.89</v>
      </c>
      <c r="I1181" s="10" t="n">
        <v>840</v>
      </c>
      <c r="J1181" s="10" t="n">
        <v>1080</v>
      </c>
      <c r="K1181" s="12" t="n">
        <v>782</v>
      </c>
      <c r="L1181" s="12" t="n">
        <v>0</v>
      </c>
      <c r="M1181" s="10" t="inlineStr">
        <is>
          <t>Yes</t>
        </is>
      </c>
      <c r="N1181" s="11" t="n">
        <v>2.68</v>
      </c>
      <c r="O1181" s="11" t="n">
        <v>3.618</v>
      </c>
      <c r="P1181" s="12" t="n">
        <v>9</v>
      </c>
    </row>
    <row r="1182">
      <c r="B1182" s="16" t="inlineStr">
        <is>
          <t>MUM</t>
        </is>
      </c>
      <c r="C1182" s="16" t="inlineStr">
        <is>
          <t>VEH-MUM-018</t>
        </is>
      </c>
      <c r="D1182" s="16" t="n">
        <v>11</v>
      </c>
      <c r="E1182" s="16" t="inlineStr">
        <is>
          <t>ORD-MUM-002433</t>
        </is>
      </c>
      <c r="F1182" s="16" t="inlineStr">
        <is>
          <t>FMCG_RETAIL</t>
        </is>
      </c>
      <c r="G1182" s="16" t="inlineStr">
        <is>
          <t>Thane</t>
        </is>
      </c>
      <c r="H1182" s="16" t="n">
        <v>41.95</v>
      </c>
      <c r="I1182" s="16" t="n">
        <v>600</v>
      </c>
      <c r="J1182" s="16" t="n">
        <v>960</v>
      </c>
      <c r="K1182" s="18" t="n">
        <v>870.2</v>
      </c>
      <c r="L1182" s="18" t="n">
        <v>0</v>
      </c>
      <c r="M1182" s="16" t="inlineStr">
        <is>
          <t>Yes</t>
        </is>
      </c>
      <c r="N1182" s="17" t="n">
        <v>4.073</v>
      </c>
      <c r="O1182" s="17" t="n">
        <v>5.498</v>
      </c>
      <c r="P1182" s="18" t="n">
        <v>13.7</v>
      </c>
    </row>
    <row r="1183">
      <c r="B1183" s="10" t="inlineStr">
        <is>
          <t>MUM</t>
        </is>
      </c>
      <c r="C1183" s="10" t="inlineStr">
        <is>
          <t>VEH-MUM-018</t>
        </is>
      </c>
      <c r="D1183" s="10" t="n">
        <v>12</v>
      </c>
      <c r="E1183" s="10" t="inlineStr">
        <is>
          <t>ORD-MUM-002439</t>
        </is>
      </c>
      <c r="F1183" s="10" t="inlineStr">
        <is>
          <t>FMCG_RETAIL</t>
        </is>
      </c>
      <c r="G1183" s="10" t="inlineStr">
        <is>
          <t>Thane</t>
        </is>
      </c>
      <c r="H1183" s="10" t="n">
        <v>163.38</v>
      </c>
      <c r="I1183" s="10" t="n">
        <v>840</v>
      </c>
      <c r="J1183" s="10" t="n">
        <v>1080</v>
      </c>
      <c r="K1183" s="12" t="n">
        <v>882.6</v>
      </c>
      <c r="L1183" s="12" t="n">
        <v>0</v>
      </c>
      <c r="M1183" s="10" t="inlineStr">
        <is>
          <t>Yes</t>
        </is>
      </c>
      <c r="N1183" s="11" t="n">
        <v>0.276</v>
      </c>
      <c r="O1183" s="11" t="n">
        <v>0.372</v>
      </c>
      <c r="P1183" s="12" t="n">
        <v>0.9</v>
      </c>
    </row>
    <row r="1184">
      <c r="B1184" s="16" t="inlineStr">
        <is>
          <t>MUM</t>
        </is>
      </c>
      <c r="C1184" s="16" t="inlineStr">
        <is>
          <t>VEH-MUM-018</t>
        </is>
      </c>
      <c r="D1184" s="16" t="n">
        <v>13</v>
      </c>
      <c r="E1184" s="16" t="inlineStr">
        <is>
          <t>ORD-MUM-002425</t>
        </is>
      </c>
      <c r="F1184" s="16" t="inlineStr">
        <is>
          <t>FMCG_RETAIL</t>
        </is>
      </c>
      <c r="G1184" s="16" t="inlineStr">
        <is>
          <t>Thane</t>
        </is>
      </c>
      <c r="H1184" s="16" t="n">
        <v>124.11</v>
      </c>
      <c r="I1184" s="16" t="n">
        <v>840</v>
      </c>
      <c r="J1184" s="16" t="n">
        <v>1080</v>
      </c>
      <c r="K1184" s="18" t="n">
        <v>898.3</v>
      </c>
      <c r="L1184" s="18" t="n">
        <v>0</v>
      </c>
      <c r="M1184" s="16" t="inlineStr">
        <is>
          <t>Yes</t>
        </is>
      </c>
      <c r="N1184" s="17" t="n">
        <v>0</v>
      </c>
      <c r="O1184" s="17" t="n">
        <v>0</v>
      </c>
      <c r="P1184" s="18" t="n">
        <v>0</v>
      </c>
    </row>
    <row r="1185">
      <c r="B1185" s="10" t="inlineStr">
        <is>
          <t>MUM</t>
        </is>
      </c>
      <c r="C1185" s="10" t="inlineStr">
        <is>
          <t>VEH-MUM-018</t>
        </is>
      </c>
      <c r="D1185" s="10" t="n">
        <v>14</v>
      </c>
      <c r="E1185" s="10" t="inlineStr">
        <is>
          <t>ORD-MUM-002459</t>
        </is>
      </c>
      <c r="F1185" s="10" t="inlineStr">
        <is>
          <t>FMCG_RETAIL</t>
        </is>
      </c>
      <c r="G1185" s="10" t="inlineStr">
        <is>
          <t>Navi Mumbai</t>
        </is>
      </c>
      <c r="H1185" s="10" t="n">
        <v>297.64</v>
      </c>
      <c r="I1185" s="10" t="n">
        <v>600</v>
      </c>
      <c r="J1185" s="10" t="n">
        <v>960</v>
      </c>
      <c r="K1185" s="12" t="n">
        <v>955.1</v>
      </c>
      <c r="L1185" s="12" t="n">
        <v>0</v>
      </c>
      <c r="M1185" s="10" t="inlineStr">
        <is>
          <t>Yes</t>
        </is>
      </c>
      <c r="N1185" s="11" t="n">
        <v>12.86</v>
      </c>
      <c r="O1185" s="11" t="n">
        <v>17.362</v>
      </c>
      <c r="P1185" s="12" t="n">
        <v>42.5</v>
      </c>
    </row>
    <row r="1186">
      <c r="B1186" s="16" t="inlineStr">
        <is>
          <t>MUM</t>
        </is>
      </c>
      <c r="C1186" s="16" t="inlineStr">
        <is>
          <t>VEH-MUM-019</t>
        </is>
      </c>
      <c r="D1186" s="16" t="n">
        <v>1</v>
      </c>
      <c r="E1186" s="16" t="inlineStr">
        <is>
          <t>ORD-MUM-002461</t>
        </is>
      </c>
      <c r="F1186" s="16" t="inlineStr">
        <is>
          <t>FMCG_RETAIL</t>
        </is>
      </c>
      <c r="G1186" s="16" t="inlineStr">
        <is>
          <t>Andheri</t>
        </is>
      </c>
      <c r="H1186" s="16" t="n">
        <v>123.8</v>
      </c>
      <c r="I1186" s="16" t="n">
        <v>540</v>
      </c>
      <c r="J1186" s="16" t="n">
        <v>780</v>
      </c>
      <c r="K1186" s="18" t="n">
        <v>500.8</v>
      </c>
      <c r="L1186" s="18" t="n">
        <v>0</v>
      </c>
      <c r="M1186" s="16" t="inlineStr">
        <is>
          <t>Yes</t>
        </is>
      </c>
      <c r="N1186" s="17" t="n">
        <v>15.873</v>
      </c>
      <c r="O1186" s="17" t="n">
        <v>21.429</v>
      </c>
      <c r="P1186" s="18" t="n">
        <v>49.1</v>
      </c>
    </row>
    <row r="1187">
      <c r="B1187" s="10" t="inlineStr">
        <is>
          <t>MUM</t>
        </is>
      </c>
      <c r="C1187" s="10" t="inlineStr">
        <is>
          <t>VEH-MUM-019</t>
        </is>
      </c>
      <c r="D1187" s="10" t="n">
        <v>2</v>
      </c>
      <c r="E1187" s="10" t="inlineStr">
        <is>
          <t>ORD-MUM-002423</t>
        </is>
      </c>
      <c r="F1187" s="10" t="inlineStr">
        <is>
          <t>FMCG_RETAIL</t>
        </is>
      </c>
      <c r="G1187" s="10" t="inlineStr">
        <is>
          <t>Bandra</t>
        </is>
      </c>
      <c r="H1187" s="10" t="n">
        <v>200.18</v>
      </c>
      <c r="I1187" s="10" t="n">
        <v>600</v>
      </c>
      <c r="J1187" s="10" t="n">
        <v>960</v>
      </c>
      <c r="K1187" s="12" t="n">
        <v>583.4</v>
      </c>
      <c r="L1187" s="12" t="n">
        <v>0</v>
      </c>
      <c r="M1187" s="10" t="inlineStr">
        <is>
          <t>Yes</t>
        </is>
      </c>
      <c r="N1187" s="11" t="n">
        <v>5.23</v>
      </c>
      <c r="O1187" s="11" t="n">
        <v>7.061</v>
      </c>
      <c r="P1187" s="12" t="n">
        <v>29.1</v>
      </c>
    </row>
    <row r="1188">
      <c r="B1188" s="16" t="inlineStr">
        <is>
          <t>MUM</t>
        </is>
      </c>
      <c r="C1188" s="16" t="inlineStr">
        <is>
          <t>VEH-MUM-019</t>
        </is>
      </c>
      <c r="D1188" s="16" t="n">
        <v>3</v>
      </c>
      <c r="E1188" s="16" t="inlineStr">
        <is>
          <t>ORD-MUM-002427</t>
        </is>
      </c>
      <c r="F1188" s="16" t="inlineStr">
        <is>
          <t>FMCG_RETAIL</t>
        </is>
      </c>
      <c r="G1188" s="16" t="inlineStr">
        <is>
          <t>Bandra</t>
        </is>
      </c>
      <c r="H1188" s="16" t="n">
        <v>183.52</v>
      </c>
      <c r="I1188" s="16" t="n">
        <v>600</v>
      </c>
      <c r="J1188" s="16" t="n">
        <v>960</v>
      </c>
      <c r="K1188" s="18" t="n">
        <v>618.8</v>
      </c>
      <c r="L1188" s="18" t="n">
        <v>0</v>
      </c>
      <c r="M1188" s="16" t="inlineStr">
        <is>
          <t>Yes</t>
        </is>
      </c>
      <c r="N1188" s="17" t="n">
        <v>0.322</v>
      </c>
      <c r="O1188" s="17" t="n">
        <v>0.435</v>
      </c>
      <c r="P1188" s="18" t="n">
        <v>1.8</v>
      </c>
    </row>
    <row r="1189">
      <c r="B1189" s="10" t="inlineStr">
        <is>
          <t>MUM</t>
        </is>
      </c>
      <c r="C1189" s="10" t="inlineStr">
        <is>
          <t>VEH-MUM-019</t>
        </is>
      </c>
      <c r="D1189" s="10" t="n">
        <v>4</v>
      </c>
      <c r="E1189" s="10" t="inlineStr">
        <is>
          <t>ORD-MUM-002448</t>
        </is>
      </c>
      <c r="F1189" s="10" t="inlineStr">
        <is>
          <t>FMCG_RETAIL</t>
        </is>
      </c>
      <c r="G1189" s="10" t="inlineStr">
        <is>
          <t>Bandra</t>
        </is>
      </c>
      <c r="H1189" s="10" t="n">
        <v>58.92</v>
      </c>
      <c r="I1189" s="10" t="n">
        <v>540</v>
      </c>
      <c r="J1189" s="10" t="n">
        <v>780</v>
      </c>
      <c r="K1189" s="12" t="n">
        <v>640.3</v>
      </c>
      <c r="L1189" s="12" t="n">
        <v>0</v>
      </c>
      <c r="M1189" s="10" t="inlineStr">
        <is>
          <t>Yes</t>
        </is>
      </c>
      <c r="N1189" s="11" t="n">
        <v>0.919</v>
      </c>
      <c r="O1189" s="11" t="n">
        <v>1.241</v>
      </c>
      <c r="P1189" s="12" t="n">
        <v>5.1</v>
      </c>
    </row>
    <row r="1190">
      <c r="B1190" s="16" t="inlineStr">
        <is>
          <t>MUM</t>
        </is>
      </c>
      <c r="C1190" s="16" t="inlineStr">
        <is>
          <t>VEH-MUM-019</t>
        </is>
      </c>
      <c r="D1190" s="16" t="n">
        <v>5</v>
      </c>
      <c r="E1190" s="16" t="inlineStr">
        <is>
          <t>ORD-MUM-002424</t>
        </is>
      </c>
      <c r="F1190" s="16" t="inlineStr">
        <is>
          <t>FMCG_RETAIL</t>
        </is>
      </c>
      <c r="G1190" s="16" t="inlineStr">
        <is>
          <t>Bandra</t>
        </is>
      </c>
      <c r="H1190" s="16" t="n">
        <v>81.26000000000001</v>
      </c>
      <c r="I1190" s="16" t="n">
        <v>600</v>
      </c>
      <c r="J1190" s="16" t="n">
        <v>960</v>
      </c>
      <c r="K1190" s="18" t="n">
        <v>655.8</v>
      </c>
      <c r="L1190" s="18" t="n">
        <v>0</v>
      </c>
      <c r="M1190" s="16" t="inlineStr">
        <is>
          <t>Yes</t>
        </is>
      </c>
      <c r="N1190" s="17" t="n">
        <v>0.619</v>
      </c>
      <c r="O1190" s="17" t="n">
        <v>0.835</v>
      </c>
      <c r="P1190" s="18" t="n">
        <v>3.4</v>
      </c>
    </row>
    <row r="1191">
      <c r="B1191" s="10" t="inlineStr">
        <is>
          <t>MUM</t>
        </is>
      </c>
      <c r="C1191" s="10" t="inlineStr">
        <is>
          <t>VEH-MUM-019</t>
        </is>
      </c>
      <c r="D1191" s="10" t="n">
        <v>6</v>
      </c>
      <c r="E1191" s="10" t="inlineStr">
        <is>
          <t>ORD-MUM-002451</t>
        </is>
      </c>
      <c r="F1191" s="10" t="inlineStr">
        <is>
          <t>FMCG_RETAIL</t>
        </is>
      </c>
      <c r="G1191" s="10" t="inlineStr">
        <is>
          <t>Bandra</t>
        </is>
      </c>
      <c r="H1191" s="10" t="n">
        <v>39.46</v>
      </c>
      <c r="I1191" s="10" t="n">
        <v>600</v>
      </c>
      <c r="J1191" s="10" t="n">
        <v>960</v>
      </c>
      <c r="K1191" s="12" t="n">
        <v>672</v>
      </c>
      <c r="L1191" s="12" t="n">
        <v>0</v>
      </c>
      <c r="M1191" s="10" t="inlineStr">
        <is>
          <t>Yes</t>
        </is>
      </c>
      <c r="N1191" s="11" t="n">
        <v>0.991</v>
      </c>
      <c r="O1191" s="11" t="n">
        <v>1.338</v>
      </c>
      <c r="P1191" s="12" t="n">
        <v>3.4</v>
      </c>
    </row>
    <row r="1192">
      <c r="B1192" s="16" t="inlineStr">
        <is>
          <t>MUM</t>
        </is>
      </c>
      <c r="C1192" s="16" t="inlineStr">
        <is>
          <t>VEH-MUM-019</t>
        </is>
      </c>
      <c r="D1192" s="16" t="n">
        <v>7</v>
      </c>
      <c r="E1192" s="16" t="inlineStr">
        <is>
          <t>ORD-MUM-002437</t>
        </is>
      </c>
      <c r="F1192" s="16" t="inlineStr">
        <is>
          <t>FMCG_RETAIL</t>
        </is>
      </c>
      <c r="G1192" s="16" t="inlineStr">
        <is>
          <t>Bandra</t>
        </is>
      </c>
      <c r="H1192" s="16" t="n">
        <v>162.94</v>
      </c>
      <c r="I1192" s="16" t="n">
        <v>840</v>
      </c>
      <c r="J1192" s="16" t="n">
        <v>1080</v>
      </c>
      <c r="K1192" s="18" t="n">
        <v>688.7</v>
      </c>
      <c r="L1192" s="18" t="n">
        <v>0</v>
      </c>
      <c r="M1192" s="16" t="inlineStr">
        <is>
          <t>Yes</t>
        </is>
      </c>
      <c r="N1192" s="17" t="n">
        <v>1.55</v>
      </c>
      <c r="O1192" s="17" t="n">
        <v>2.092</v>
      </c>
      <c r="P1192" s="18" t="n">
        <v>5.3</v>
      </c>
    </row>
    <row r="1193">
      <c r="B1193" s="10" t="inlineStr">
        <is>
          <t>MUM</t>
        </is>
      </c>
      <c r="C1193" s="10" t="inlineStr">
        <is>
          <t>VEH-MUM-019</t>
        </is>
      </c>
      <c r="D1193" s="10" t="n">
        <v>8</v>
      </c>
      <c r="E1193" s="10" t="inlineStr">
        <is>
          <t>ORD-MUM-002440</t>
        </is>
      </c>
      <c r="F1193" s="10" t="inlineStr">
        <is>
          <t>FMCG_RETAIL</t>
        </is>
      </c>
      <c r="G1193" s="10" t="inlineStr">
        <is>
          <t>Bandra</t>
        </is>
      </c>
      <c r="H1193" s="10" t="n">
        <v>50.61</v>
      </c>
      <c r="I1193" s="10" t="n">
        <v>840</v>
      </c>
      <c r="J1193" s="10" t="n">
        <v>1080</v>
      </c>
      <c r="K1193" s="12" t="n">
        <v>865.9</v>
      </c>
      <c r="L1193" s="12" t="n">
        <v>0</v>
      </c>
      <c r="M1193" s="10" t="inlineStr">
        <is>
          <t>Yes</t>
        </is>
      </c>
      <c r="N1193" s="11" t="n">
        <v>2.996</v>
      </c>
      <c r="O1193" s="11" t="n">
        <v>4.045</v>
      </c>
      <c r="P1193" s="12" t="n">
        <v>10.2</v>
      </c>
    </row>
    <row r="1194">
      <c r="B1194" s="16" t="inlineStr">
        <is>
          <t>MUM</t>
        </is>
      </c>
      <c r="C1194" s="16" t="inlineStr">
        <is>
          <t>VEH-MUM-019</t>
        </is>
      </c>
      <c r="D1194" s="16" t="n">
        <v>9</v>
      </c>
      <c r="E1194" s="16" t="inlineStr">
        <is>
          <t>ORD-MUM-002455</t>
        </is>
      </c>
      <c r="F1194" s="16" t="inlineStr">
        <is>
          <t>FMCG_RETAIL</t>
        </is>
      </c>
      <c r="G1194" s="16" t="inlineStr">
        <is>
          <t>Bandra</t>
        </is>
      </c>
      <c r="H1194" s="16" t="n">
        <v>279.75</v>
      </c>
      <c r="I1194" s="16" t="n">
        <v>840</v>
      </c>
      <c r="J1194" s="16" t="n">
        <v>1080</v>
      </c>
      <c r="K1194" s="18" t="n">
        <v>878.7</v>
      </c>
      <c r="L1194" s="18" t="n">
        <v>0</v>
      </c>
      <c r="M1194" s="16" t="inlineStr">
        <is>
          <t>Yes</t>
        </is>
      </c>
      <c r="N1194" s="17" t="n">
        <v>0.322</v>
      </c>
      <c r="O1194" s="17" t="n">
        <v>0.435</v>
      </c>
      <c r="P1194" s="18" t="n">
        <v>1.1</v>
      </c>
    </row>
    <row r="1195">
      <c r="B1195" s="10" t="inlineStr">
        <is>
          <t>MUM</t>
        </is>
      </c>
      <c r="C1195" s="10" t="inlineStr">
        <is>
          <t>VEH-MUM-019</t>
        </is>
      </c>
      <c r="D1195" s="10" t="n">
        <v>10</v>
      </c>
      <c r="E1195" s="10" t="inlineStr">
        <is>
          <t>ORD-MUM-002443</t>
        </is>
      </c>
      <c r="F1195" s="10" t="inlineStr">
        <is>
          <t>FMCG_RETAIL</t>
        </is>
      </c>
      <c r="G1195" s="10" t="inlineStr">
        <is>
          <t>Andheri</t>
        </is>
      </c>
      <c r="H1195" s="10" t="n">
        <v>181</v>
      </c>
      <c r="I1195" s="10" t="n">
        <v>840</v>
      </c>
      <c r="J1195" s="10" t="n">
        <v>1080</v>
      </c>
      <c r="K1195" s="12" t="n">
        <v>917.3</v>
      </c>
      <c r="L1195" s="12" t="n">
        <v>0</v>
      </c>
      <c r="M1195" s="10" t="inlineStr">
        <is>
          <t>Yes</t>
        </is>
      </c>
      <c r="N1195" s="11" t="n">
        <v>5.512</v>
      </c>
      <c r="O1195" s="11" t="n">
        <v>7.441</v>
      </c>
      <c r="P1195" s="12" t="n">
        <v>18.7</v>
      </c>
    </row>
    <row r="1196">
      <c r="B1196" s="16" t="inlineStr">
        <is>
          <t>MUM</t>
        </is>
      </c>
      <c r="C1196" s="16" t="inlineStr">
        <is>
          <t>VEH-MUM-019</t>
        </is>
      </c>
      <c r="D1196" s="16" t="n">
        <v>11</v>
      </c>
      <c r="E1196" s="16" t="inlineStr">
        <is>
          <t>ORD-MUM-002432</t>
        </is>
      </c>
      <c r="F1196" s="16" t="inlineStr">
        <is>
          <t>FMCG_RETAIL</t>
        </is>
      </c>
      <c r="G1196" s="16" t="inlineStr">
        <is>
          <t>Andheri</t>
        </is>
      </c>
      <c r="H1196" s="16" t="n">
        <v>113.62</v>
      </c>
      <c r="I1196" s="16" t="n">
        <v>840</v>
      </c>
      <c r="J1196" s="16" t="n">
        <v>1080</v>
      </c>
      <c r="K1196" s="18" t="n">
        <v>939.1</v>
      </c>
      <c r="L1196" s="18" t="n">
        <v>0</v>
      </c>
      <c r="M1196" s="16" t="inlineStr">
        <is>
          <t>Yes</t>
        </is>
      </c>
      <c r="N1196" s="17" t="n">
        <v>1.624</v>
      </c>
      <c r="O1196" s="17" t="n">
        <v>2.192</v>
      </c>
      <c r="P1196" s="18" t="n">
        <v>5.5</v>
      </c>
    </row>
    <row r="1197">
      <c r="B1197" s="10" t="inlineStr">
        <is>
          <t>MUM</t>
        </is>
      </c>
      <c r="C1197" s="10" t="inlineStr">
        <is>
          <t>VEH-MUM-019</t>
        </is>
      </c>
      <c r="D1197" s="10" t="n">
        <v>12</v>
      </c>
      <c r="E1197" s="10" t="inlineStr">
        <is>
          <t>ORD-MUM-002426</t>
        </is>
      </c>
      <c r="F1197" s="10" t="inlineStr">
        <is>
          <t>FMCG_RETAIL</t>
        </is>
      </c>
      <c r="G1197" s="10" t="inlineStr">
        <is>
          <t>Andheri</t>
        </is>
      </c>
      <c r="H1197" s="10" t="n">
        <v>125.67</v>
      </c>
      <c r="I1197" s="10" t="n">
        <v>600</v>
      </c>
      <c r="J1197" s="10" t="n">
        <v>960</v>
      </c>
      <c r="K1197" s="12" t="n">
        <v>954.4</v>
      </c>
      <c r="L1197" s="12" t="n">
        <v>0</v>
      </c>
      <c r="M1197" s="10" t="inlineStr">
        <is>
          <t>Yes</t>
        </is>
      </c>
      <c r="N1197" s="11" t="n">
        <v>0.382</v>
      </c>
      <c r="O1197" s="11" t="n">
        <v>0.516</v>
      </c>
      <c r="P1197" s="12" t="n">
        <v>1.3</v>
      </c>
    </row>
    <row r="1198">
      <c r="B1198" s="16" t="inlineStr">
        <is>
          <t>MUM</t>
        </is>
      </c>
      <c r="C1198" s="16" t="inlineStr">
        <is>
          <t>VEH-MUM-019</t>
        </is>
      </c>
      <c r="D1198" s="16" t="n">
        <v>13</v>
      </c>
      <c r="E1198" s="16" t="inlineStr">
        <is>
          <t>ORD-MUM-002420</t>
        </is>
      </c>
      <c r="F1198" s="16" t="inlineStr">
        <is>
          <t>FMCG_RETAIL</t>
        </is>
      </c>
      <c r="G1198" s="16" t="inlineStr">
        <is>
          <t>Andheri</t>
        </is>
      </c>
      <c r="H1198" s="16" t="n">
        <v>99.79000000000001</v>
      </c>
      <c r="I1198" s="16" t="n">
        <v>840</v>
      </c>
      <c r="J1198" s="16" t="n">
        <v>1080</v>
      </c>
      <c r="K1198" s="18" t="n">
        <v>980.9</v>
      </c>
      <c r="L1198" s="18" t="n">
        <v>0</v>
      </c>
      <c r="M1198" s="16" t="inlineStr">
        <is>
          <t>Yes</t>
        </is>
      </c>
      <c r="N1198" s="17" t="n">
        <v>3.553</v>
      </c>
      <c r="O1198" s="17" t="n">
        <v>4.797</v>
      </c>
      <c r="P1198" s="18" t="n">
        <v>12.1</v>
      </c>
    </row>
    <row r="1199">
      <c r="B1199" s="10" t="inlineStr">
        <is>
          <t>MUM</t>
        </is>
      </c>
      <c r="C1199" s="10" t="inlineStr">
        <is>
          <t>VEH-MUM-019</t>
        </is>
      </c>
      <c r="D1199" s="10" t="n">
        <v>14</v>
      </c>
      <c r="E1199" s="10" t="inlineStr">
        <is>
          <t>ORD-MUM-002449</t>
        </is>
      </c>
      <c r="F1199" s="10" t="inlineStr">
        <is>
          <t>FMCG_RETAIL</t>
        </is>
      </c>
      <c r="G1199" s="10" t="inlineStr">
        <is>
          <t>Navi Mumbai</t>
        </is>
      </c>
      <c r="H1199" s="10" t="n">
        <v>146.9</v>
      </c>
      <c r="I1199" s="10" t="n">
        <v>840</v>
      </c>
      <c r="J1199" s="10" t="n">
        <v>1080</v>
      </c>
      <c r="K1199" s="12" t="n">
        <v>1041.9</v>
      </c>
      <c r="L1199" s="12" t="n">
        <v>0</v>
      </c>
      <c r="M1199" s="10" t="inlineStr">
        <is>
          <t>Yes</t>
        </is>
      </c>
      <c r="N1199" s="11" t="n">
        <v>14.379</v>
      </c>
      <c r="O1199" s="11" t="n">
        <v>19.412</v>
      </c>
      <c r="P1199" s="12" t="n">
        <v>47.5</v>
      </c>
    </row>
    <row r="1200">
      <c r="B1200" s="16" t="inlineStr">
        <is>
          <t>MUM</t>
        </is>
      </c>
      <c r="C1200" s="16" t="inlineStr">
        <is>
          <t>VEH-MUM-020</t>
        </is>
      </c>
      <c r="D1200" s="16" t="n">
        <v>1</v>
      </c>
      <c r="E1200" s="16" t="inlineStr">
        <is>
          <t>ORD-MUM-002349</t>
        </is>
      </c>
      <c r="F1200" s="16" t="inlineStr">
        <is>
          <t>ECOM_B2C</t>
        </is>
      </c>
      <c r="G1200" s="16" t="inlineStr">
        <is>
          <t>Navi Mumbai</t>
        </is>
      </c>
      <c r="H1200" s="16" t="n">
        <v>1.75</v>
      </c>
      <c r="I1200" s="16" t="n">
        <v>540</v>
      </c>
      <c r="J1200" s="16" t="n">
        <v>720</v>
      </c>
      <c r="K1200" s="18" t="n">
        <v>540</v>
      </c>
      <c r="L1200" s="18" t="n">
        <v>0</v>
      </c>
      <c r="M1200" s="16" t="inlineStr">
        <is>
          <t>Yes</t>
        </is>
      </c>
      <c r="N1200" s="17" t="n">
        <v>3.488</v>
      </c>
      <c r="O1200" s="17" t="n">
        <v>4.708</v>
      </c>
      <c r="P1200" s="18" t="n">
        <v>18.9</v>
      </c>
    </row>
    <row r="1201">
      <c r="B1201" s="10" t="inlineStr">
        <is>
          <t>MUM</t>
        </is>
      </c>
      <c r="C1201" s="10" t="inlineStr">
        <is>
          <t>VEH-MUM-020</t>
        </is>
      </c>
      <c r="D1201" s="10" t="n">
        <v>2</v>
      </c>
      <c r="E1201" s="10" t="inlineStr">
        <is>
          <t>ORD-MUM-002384</t>
        </is>
      </c>
      <c r="F1201" s="10" t="inlineStr">
        <is>
          <t>ECOM_B2C</t>
        </is>
      </c>
      <c r="G1201" s="10" t="inlineStr">
        <is>
          <t>Navi Mumbai</t>
        </is>
      </c>
      <c r="H1201" s="10" t="n">
        <v>2.59</v>
      </c>
      <c r="I1201" s="10" t="n">
        <v>600</v>
      </c>
      <c r="J1201" s="10" t="n">
        <v>720</v>
      </c>
      <c r="K1201" s="12" t="n">
        <v>559.3</v>
      </c>
      <c r="L1201" s="12" t="n">
        <v>0</v>
      </c>
      <c r="M1201" s="10" t="inlineStr">
        <is>
          <t>Yes</t>
        </is>
      </c>
      <c r="N1201" s="11" t="n">
        <v>2.829</v>
      </c>
      <c r="O1201" s="11" t="n">
        <v>3.819</v>
      </c>
      <c r="P1201" s="12" t="n">
        <v>15.3</v>
      </c>
    </row>
    <row r="1202">
      <c r="B1202" s="16" t="inlineStr">
        <is>
          <t>MUM</t>
        </is>
      </c>
      <c r="C1202" s="16" t="inlineStr">
        <is>
          <t>VEH-MUM-020</t>
        </is>
      </c>
      <c r="D1202" s="16" t="n">
        <v>3</v>
      </c>
      <c r="E1202" s="16" t="inlineStr">
        <is>
          <t>ORD-MUM-002382</t>
        </is>
      </c>
      <c r="F1202" s="16" t="inlineStr">
        <is>
          <t>ECOM_B2C</t>
        </is>
      </c>
      <c r="G1202" s="16" t="inlineStr">
        <is>
          <t>Navi Mumbai</t>
        </is>
      </c>
      <c r="H1202" s="16" t="n">
        <v>1.84</v>
      </c>
      <c r="I1202" s="16" t="n">
        <v>540</v>
      </c>
      <c r="J1202" s="16" t="n">
        <v>720</v>
      </c>
      <c r="K1202" s="18" t="n">
        <v>608.1</v>
      </c>
      <c r="L1202" s="18" t="n">
        <v>0</v>
      </c>
      <c r="M1202" s="16" t="inlineStr">
        <is>
          <t>Yes</t>
        </is>
      </c>
      <c r="N1202" s="17" t="n">
        <v>0.753</v>
      </c>
      <c r="O1202" s="17" t="n">
        <v>1.016</v>
      </c>
      <c r="P1202" s="18" t="n">
        <v>4.1</v>
      </c>
    </row>
    <row r="1203">
      <c r="B1203" s="10" t="inlineStr">
        <is>
          <t>MUM</t>
        </is>
      </c>
      <c r="C1203" s="10" t="inlineStr">
        <is>
          <t>VEH-MUM-020</t>
        </is>
      </c>
      <c r="D1203" s="10" t="n">
        <v>4</v>
      </c>
      <c r="E1203" s="10" t="inlineStr">
        <is>
          <t>ORD-MUM-002428</t>
        </is>
      </c>
      <c r="F1203" s="10" t="inlineStr">
        <is>
          <t>FMCG_RETAIL</t>
        </is>
      </c>
      <c r="G1203" s="10" t="inlineStr">
        <is>
          <t>Navi Mumbai</t>
        </is>
      </c>
      <c r="H1203" s="10" t="n">
        <v>126.96</v>
      </c>
      <c r="I1203" s="10" t="n">
        <v>600</v>
      </c>
      <c r="J1203" s="10" t="n">
        <v>960</v>
      </c>
      <c r="K1203" s="12" t="n">
        <v>614.1</v>
      </c>
      <c r="L1203" s="12" t="n">
        <v>0</v>
      </c>
      <c r="M1203" s="10" t="inlineStr">
        <is>
          <t>Yes</t>
        </is>
      </c>
      <c r="N1203" s="11" t="n">
        <v>0.368</v>
      </c>
      <c r="O1203" s="11" t="n">
        <v>0.497</v>
      </c>
      <c r="P1203" s="12" t="n">
        <v>2</v>
      </c>
    </row>
    <row r="1204">
      <c r="B1204" s="16" t="inlineStr">
        <is>
          <t>MUM</t>
        </is>
      </c>
      <c r="C1204" s="16" t="inlineStr">
        <is>
          <t>VEH-MUM-020</t>
        </is>
      </c>
      <c r="D1204" s="16" t="n">
        <v>5</v>
      </c>
      <c r="E1204" s="16" t="inlineStr">
        <is>
          <t>ORD-MUM-002447</t>
        </is>
      </c>
      <c r="F1204" s="16" t="inlineStr">
        <is>
          <t>FMCG_RETAIL</t>
        </is>
      </c>
      <c r="G1204" s="16" t="inlineStr">
        <is>
          <t>Navi Mumbai</t>
        </is>
      </c>
      <c r="H1204" s="16" t="n">
        <v>243.95</v>
      </c>
      <c r="I1204" s="16" t="n">
        <v>540</v>
      </c>
      <c r="J1204" s="16" t="n">
        <v>780</v>
      </c>
      <c r="K1204" s="18" t="n">
        <v>631.7</v>
      </c>
      <c r="L1204" s="18" t="n">
        <v>0</v>
      </c>
      <c r="M1204" s="16" t="inlineStr">
        <is>
          <t>Yes</t>
        </is>
      </c>
      <c r="N1204" s="17" t="n">
        <v>0.591</v>
      </c>
      <c r="O1204" s="17" t="n">
        <v>0.798</v>
      </c>
      <c r="P1204" s="18" t="n">
        <v>3.2</v>
      </c>
    </row>
    <row r="1205">
      <c r="B1205" s="10" t="inlineStr">
        <is>
          <t>MUM</t>
        </is>
      </c>
      <c r="C1205" s="10" t="inlineStr">
        <is>
          <t>VEH-MUM-020</t>
        </is>
      </c>
      <c r="D1205" s="10" t="n">
        <v>6</v>
      </c>
      <c r="E1205" s="10" t="inlineStr">
        <is>
          <t>ORD-MUM-002360</t>
        </is>
      </c>
      <c r="F1205" s="10" t="inlineStr">
        <is>
          <t>ECOM_B2C</t>
        </is>
      </c>
      <c r="G1205" s="10" t="inlineStr">
        <is>
          <t>Navi Mumbai</t>
        </is>
      </c>
      <c r="H1205" s="10" t="n">
        <v>1.22</v>
      </c>
      <c r="I1205" s="10" t="n">
        <v>720</v>
      </c>
      <c r="J1205" s="10" t="n">
        <v>900</v>
      </c>
      <c r="K1205" s="12" t="n">
        <v>662.8</v>
      </c>
      <c r="L1205" s="12" t="n">
        <v>0</v>
      </c>
      <c r="M1205" s="10" t="inlineStr">
        <is>
          <t>Yes</t>
        </is>
      </c>
      <c r="N1205" s="11" t="n">
        <v>2.322</v>
      </c>
      <c r="O1205" s="11" t="n">
        <v>3.135</v>
      </c>
      <c r="P1205" s="12" t="n">
        <v>12.6</v>
      </c>
    </row>
    <row r="1206">
      <c r="B1206" s="16" t="inlineStr">
        <is>
          <t>MUM</t>
        </is>
      </c>
      <c r="C1206" s="16" t="inlineStr">
        <is>
          <t>VEH-MUM-020</t>
        </is>
      </c>
      <c r="D1206" s="16" t="n">
        <v>7</v>
      </c>
      <c r="E1206" s="16" t="inlineStr">
        <is>
          <t>ORD-MUM-002328</t>
        </is>
      </c>
      <c r="F1206" s="16" t="inlineStr">
        <is>
          <t>ECOM_B2C</t>
        </is>
      </c>
      <c r="G1206" s="16" t="inlineStr">
        <is>
          <t>Navi Mumbai</t>
        </is>
      </c>
      <c r="H1206" s="16" t="n">
        <v>5.13</v>
      </c>
      <c r="I1206" s="16" t="n">
        <v>720</v>
      </c>
      <c r="J1206" s="16" t="n">
        <v>900</v>
      </c>
      <c r="K1206" s="18" t="n">
        <v>724</v>
      </c>
      <c r="L1206" s="18" t="n">
        <v>0</v>
      </c>
      <c r="M1206" s="16" t="inlineStr">
        <is>
          <t>Yes</t>
        </is>
      </c>
      <c r="N1206" s="17" t="n">
        <v>0</v>
      </c>
      <c r="O1206" s="17" t="n">
        <v>0</v>
      </c>
      <c r="P1206" s="18" t="n">
        <v>0</v>
      </c>
    </row>
    <row r="1207">
      <c r="B1207" s="10" t="inlineStr">
        <is>
          <t>MUM</t>
        </is>
      </c>
      <c r="C1207" s="10" t="inlineStr">
        <is>
          <t>VEH-MUM-020</t>
        </is>
      </c>
      <c r="D1207" s="10" t="n">
        <v>8</v>
      </c>
      <c r="E1207" s="10" t="inlineStr">
        <is>
          <t>ORD-MUM-002388</t>
        </is>
      </c>
      <c r="F1207" s="10" t="inlineStr">
        <is>
          <t>ECOM_B2C</t>
        </is>
      </c>
      <c r="G1207" s="10" t="inlineStr">
        <is>
          <t>Navi Mumbai</t>
        </is>
      </c>
      <c r="H1207" s="10" t="n">
        <v>2.34</v>
      </c>
      <c r="I1207" s="10" t="n">
        <v>720</v>
      </c>
      <c r="J1207" s="10" t="n">
        <v>900</v>
      </c>
      <c r="K1207" s="12" t="n">
        <v>739.2</v>
      </c>
      <c r="L1207" s="12" t="n">
        <v>0</v>
      </c>
      <c r="M1207" s="10" t="inlineStr">
        <is>
          <t>Yes</t>
        </is>
      </c>
      <c r="N1207" s="11" t="n">
        <v>3.393</v>
      </c>
      <c r="O1207" s="11" t="n">
        <v>4.581</v>
      </c>
      <c r="P1207" s="12" t="n">
        <v>11.2</v>
      </c>
    </row>
    <row r="1208">
      <c r="B1208" s="16" t="inlineStr">
        <is>
          <t>MUM</t>
        </is>
      </c>
      <c r="C1208" s="16" t="inlineStr">
        <is>
          <t>VEH-MUM-020</t>
        </is>
      </c>
      <c r="D1208" s="16" t="n">
        <v>9</v>
      </c>
      <c r="E1208" s="16" t="inlineStr">
        <is>
          <t>ORD-MUM-002446</t>
        </is>
      </c>
      <c r="F1208" s="16" t="inlineStr">
        <is>
          <t>FMCG_RETAIL</t>
        </is>
      </c>
      <c r="G1208" s="16" t="inlineStr">
        <is>
          <t>Navi Mumbai</t>
        </is>
      </c>
      <c r="H1208" s="16" t="n">
        <v>116.1</v>
      </c>
      <c r="I1208" s="16" t="n">
        <v>540</v>
      </c>
      <c r="J1208" s="16" t="n">
        <v>780</v>
      </c>
      <c r="K1208" s="18" t="n">
        <v>750.5</v>
      </c>
      <c r="L1208" s="18" t="n">
        <v>0</v>
      </c>
      <c r="M1208" s="16" t="inlineStr">
        <is>
          <t>Yes</t>
        </is>
      </c>
      <c r="N1208" s="17" t="n">
        <v>2.217</v>
      </c>
      <c r="O1208" s="17" t="n">
        <v>2.993</v>
      </c>
      <c r="P1208" s="18" t="n">
        <v>7.3</v>
      </c>
    </row>
    <row r="1209">
      <c r="B1209" s="10" t="inlineStr">
        <is>
          <t>MUM</t>
        </is>
      </c>
      <c r="C1209" s="10" t="inlineStr">
        <is>
          <t>VEH-MUM-020</t>
        </is>
      </c>
      <c r="D1209" s="10" t="n">
        <v>10</v>
      </c>
      <c r="E1209" s="10" t="inlineStr">
        <is>
          <t>ORD-MUM-002457</t>
        </is>
      </c>
      <c r="F1209" s="10" t="inlineStr">
        <is>
          <t>FMCG_RETAIL</t>
        </is>
      </c>
      <c r="G1209" s="10" t="inlineStr">
        <is>
          <t>Navi Mumbai</t>
        </is>
      </c>
      <c r="H1209" s="10" t="n">
        <v>227.65</v>
      </c>
      <c r="I1209" s="10" t="n">
        <v>540</v>
      </c>
      <c r="J1209" s="10" t="n">
        <v>780</v>
      </c>
      <c r="K1209" s="12" t="n">
        <v>764.6</v>
      </c>
      <c r="L1209" s="12" t="n">
        <v>0</v>
      </c>
      <c r="M1209" s="10" t="inlineStr">
        <is>
          <t>Yes</t>
        </is>
      </c>
      <c r="N1209" s="11" t="n">
        <v>0</v>
      </c>
      <c r="O1209" s="11" t="n">
        <v>0</v>
      </c>
      <c r="P1209" s="12" t="n">
        <v>0</v>
      </c>
    </row>
    <row r="1210">
      <c r="B1210" s="16" t="inlineStr">
        <is>
          <t>MUM</t>
        </is>
      </c>
      <c r="C1210" s="16" t="inlineStr">
        <is>
          <t>VEH-MUM-020</t>
        </is>
      </c>
      <c r="D1210" s="16" t="n">
        <v>11</v>
      </c>
      <c r="E1210" s="16" t="inlineStr">
        <is>
          <t>ORD-MUM-002456</t>
        </is>
      </c>
      <c r="F1210" s="16" t="inlineStr">
        <is>
          <t>FMCG_RETAIL</t>
        </is>
      </c>
      <c r="G1210" s="16" t="inlineStr">
        <is>
          <t>Navi Mumbai</t>
        </is>
      </c>
      <c r="H1210" s="16" t="n">
        <v>101.57</v>
      </c>
      <c r="I1210" s="16" t="n">
        <v>600</v>
      </c>
      <c r="J1210" s="16" t="n">
        <v>960</v>
      </c>
      <c r="K1210" s="18" t="n">
        <v>782.6</v>
      </c>
      <c r="L1210" s="18" t="n">
        <v>0</v>
      </c>
      <c r="M1210" s="16" t="inlineStr">
        <is>
          <t>Yes</t>
        </is>
      </c>
      <c r="N1210" s="17" t="n">
        <v>0</v>
      </c>
      <c r="O1210" s="17" t="n">
        <v>0</v>
      </c>
      <c r="P1210" s="18" t="n">
        <v>0</v>
      </c>
    </row>
    <row r="1211">
      <c r="B1211" s="10" t="inlineStr">
        <is>
          <t>MUM</t>
        </is>
      </c>
      <c r="C1211" s="10" t="inlineStr">
        <is>
          <t>VEH-MUM-020</t>
        </is>
      </c>
      <c r="D1211" s="10" t="n">
        <v>12</v>
      </c>
      <c r="E1211" s="10" t="inlineStr">
        <is>
          <t>ORD-MUM-002434</t>
        </is>
      </c>
      <c r="F1211" s="10" t="inlineStr">
        <is>
          <t>FMCG_RETAIL</t>
        </is>
      </c>
      <c r="G1211" s="10" t="inlineStr">
        <is>
          <t>Navi Mumbai</t>
        </is>
      </c>
      <c r="H1211" s="10" t="n">
        <v>132.95</v>
      </c>
      <c r="I1211" s="10" t="n">
        <v>840</v>
      </c>
      <c r="J1211" s="10" t="n">
        <v>1080</v>
      </c>
      <c r="K1211" s="12" t="n">
        <v>796.1</v>
      </c>
      <c r="L1211" s="12" t="n">
        <v>0</v>
      </c>
      <c r="M1211" s="10" t="inlineStr">
        <is>
          <t>Yes</t>
        </is>
      </c>
      <c r="N1211" s="11" t="n">
        <v>0</v>
      </c>
      <c r="O1211" s="11" t="n">
        <v>0</v>
      </c>
      <c r="P1211" s="12" t="n">
        <v>0</v>
      </c>
    </row>
    <row r="1212">
      <c r="B1212" s="16" t="inlineStr">
        <is>
          <t>MUM</t>
        </is>
      </c>
      <c r="C1212" s="16" t="inlineStr">
        <is>
          <t>VEH-MUM-020</t>
        </is>
      </c>
      <c r="D1212" s="16" t="n">
        <v>13</v>
      </c>
      <c r="E1212" s="16" t="inlineStr">
        <is>
          <t>ORD-MUM-002445</t>
        </is>
      </c>
      <c r="F1212" s="16" t="inlineStr">
        <is>
          <t>FMCG_RETAIL</t>
        </is>
      </c>
      <c r="G1212" s="16" t="inlineStr">
        <is>
          <t>Navi Mumbai</t>
        </is>
      </c>
      <c r="H1212" s="16" t="n">
        <v>124.77</v>
      </c>
      <c r="I1212" s="16" t="n">
        <v>840</v>
      </c>
      <c r="J1212" s="16" t="n">
        <v>1080</v>
      </c>
      <c r="K1212" s="18" t="n">
        <v>859.8</v>
      </c>
      <c r="L1212" s="18" t="n">
        <v>0</v>
      </c>
      <c r="M1212" s="16" t="inlineStr">
        <is>
          <t>Yes</t>
        </is>
      </c>
      <c r="N1212" s="17" t="n">
        <v>1.561</v>
      </c>
      <c r="O1212" s="17" t="n">
        <v>2.107</v>
      </c>
      <c r="P1212" s="18" t="n">
        <v>5.2</v>
      </c>
    </row>
    <row r="1213">
      <c r="B1213" s="10" t="inlineStr">
        <is>
          <t>MUM</t>
        </is>
      </c>
      <c r="C1213" s="10" t="inlineStr">
        <is>
          <t>VEH-MUM-020</t>
        </is>
      </c>
      <c r="D1213" s="10" t="n">
        <v>14</v>
      </c>
      <c r="E1213" s="10" t="inlineStr">
        <is>
          <t>ORD-MUM-002458</t>
        </is>
      </c>
      <c r="F1213" s="10" t="inlineStr">
        <is>
          <t>FMCG_RETAIL</t>
        </is>
      </c>
      <c r="G1213" s="10" t="inlineStr">
        <is>
          <t>Navi Mumbai</t>
        </is>
      </c>
      <c r="H1213" s="10" t="n">
        <v>128.43</v>
      </c>
      <c r="I1213" s="10" t="n">
        <v>600</v>
      </c>
      <c r="J1213" s="10" t="n">
        <v>960</v>
      </c>
      <c r="K1213" s="12" t="n">
        <v>874.5</v>
      </c>
      <c r="L1213" s="12" t="n">
        <v>0</v>
      </c>
      <c r="M1213" s="10" t="inlineStr">
        <is>
          <t>Yes</t>
        </is>
      </c>
      <c r="N1213" s="11" t="n">
        <v>0.109</v>
      </c>
      <c r="O1213" s="11" t="n">
        <v>0.148</v>
      </c>
      <c r="P1213" s="12" t="n">
        <v>0.4</v>
      </c>
    </row>
    <row r="1214">
      <c r="B1214" s="16" t="inlineStr">
        <is>
          <t>MUM</t>
        </is>
      </c>
      <c r="C1214" s="16" t="inlineStr">
        <is>
          <t>VEH-MUM-020</t>
        </is>
      </c>
      <c r="D1214" s="16" t="n">
        <v>15</v>
      </c>
      <c r="E1214" s="16" t="inlineStr">
        <is>
          <t>ORD-MUM-002309</t>
        </is>
      </c>
      <c r="F1214" s="16" t="inlineStr">
        <is>
          <t>ECOM_B2C</t>
        </is>
      </c>
      <c r="G1214" s="16" t="inlineStr">
        <is>
          <t>Navi Mumbai</t>
        </is>
      </c>
      <c r="H1214" s="16" t="n">
        <v>0.51</v>
      </c>
      <c r="I1214" s="16" t="n">
        <v>720</v>
      </c>
      <c r="J1214" s="16" t="n">
        <v>900</v>
      </c>
      <c r="K1214" s="18" t="n">
        <v>891.6</v>
      </c>
      <c r="L1214" s="18" t="n">
        <v>0</v>
      </c>
      <c r="M1214" s="16" t="inlineStr">
        <is>
          <t>Yes</t>
        </is>
      </c>
      <c r="N1214" s="17" t="n">
        <v>0.773</v>
      </c>
      <c r="O1214" s="17" t="n">
        <v>1.044</v>
      </c>
      <c r="P1214" s="18" t="n">
        <v>2.6</v>
      </c>
    </row>
    <row r="1215">
      <c r="B1215" s="10" t="inlineStr">
        <is>
          <t>MUM</t>
        </is>
      </c>
      <c r="C1215" s="10" t="inlineStr">
        <is>
          <t>VEH-MUM-020</t>
        </is>
      </c>
      <c r="D1215" s="10" t="n">
        <v>16</v>
      </c>
      <c r="E1215" s="10" t="inlineStr">
        <is>
          <t>ORD-MUM-002300</t>
        </is>
      </c>
      <c r="F1215" s="10" t="inlineStr">
        <is>
          <t>ECOM_B2C</t>
        </is>
      </c>
      <c r="G1215" s="10" t="inlineStr">
        <is>
          <t>Navi Mumbai</t>
        </is>
      </c>
      <c r="H1215" s="10" t="n">
        <v>4.42</v>
      </c>
      <c r="I1215" s="10" t="n">
        <v>900</v>
      </c>
      <c r="J1215" s="10" t="n">
        <v>1080</v>
      </c>
      <c r="K1215" s="12" t="n">
        <v>897.2</v>
      </c>
      <c r="L1215" s="12" t="n">
        <v>0</v>
      </c>
      <c r="M1215" s="10" t="inlineStr">
        <is>
          <t>Yes</t>
        </is>
      </c>
      <c r="N1215" s="11" t="n">
        <v>0.482</v>
      </c>
      <c r="O1215" s="11" t="n">
        <v>0.65</v>
      </c>
      <c r="P1215" s="12" t="n">
        <v>1.6</v>
      </c>
    </row>
    <row r="1216">
      <c r="B1216" s="16" t="inlineStr">
        <is>
          <t>MUM</t>
        </is>
      </c>
      <c r="C1216" s="16" t="inlineStr">
        <is>
          <t>VEH-MUM-020</t>
        </is>
      </c>
      <c r="D1216" s="16" t="n">
        <v>17</v>
      </c>
      <c r="E1216" s="16" t="inlineStr">
        <is>
          <t>ORD-MUM-002410</t>
        </is>
      </c>
      <c r="F1216" s="16" t="inlineStr">
        <is>
          <t>ECOM_B2C</t>
        </is>
      </c>
      <c r="G1216" s="16" t="inlineStr">
        <is>
          <t>Navi Mumbai</t>
        </is>
      </c>
      <c r="H1216" s="16" t="n">
        <v>3.24</v>
      </c>
      <c r="I1216" s="16" t="n">
        <v>900</v>
      </c>
      <c r="J1216" s="16" t="n">
        <v>1080</v>
      </c>
      <c r="K1216" s="18" t="n">
        <v>905.2</v>
      </c>
      <c r="L1216" s="18" t="n">
        <v>0</v>
      </c>
      <c r="M1216" s="16" t="inlineStr">
        <is>
          <t>Yes</t>
        </is>
      </c>
      <c r="N1216" s="17" t="n">
        <v>0.376</v>
      </c>
      <c r="O1216" s="17" t="n">
        <v>0.508</v>
      </c>
      <c r="P1216" s="18" t="n">
        <v>1.2</v>
      </c>
    </row>
    <row r="1217">
      <c r="B1217" s="10" t="inlineStr">
        <is>
          <t>MUM</t>
        </is>
      </c>
      <c r="C1217" s="10" t="inlineStr">
        <is>
          <t>VEH-MUM-020</t>
        </is>
      </c>
      <c r="D1217" s="10" t="n">
        <v>18</v>
      </c>
      <c r="E1217" s="10" t="inlineStr">
        <is>
          <t>ORD-MUM-002453</t>
        </is>
      </c>
      <c r="F1217" s="10" t="inlineStr">
        <is>
          <t>FMCG_RETAIL</t>
        </is>
      </c>
      <c r="G1217" s="10" t="inlineStr">
        <is>
          <t>Navi Mumbai</t>
        </is>
      </c>
      <c r="H1217" s="10" t="n">
        <v>88.03</v>
      </c>
      <c r="I1217" s="10" t="n">
        <v>840</v>
      </c>
      <c r="J1217" s="10" t="n">
        <v>1080</v>
      </c>
      <c r="K1217" s="12" t="n">
        <v>913.7</v>
      </c>
      <c r="L1217" s="12" t="n">
        <v>0</v>
      </c>
      <c r="M1217" s="10" t="inlineStr">
        <is>
          <t>Yes</t>
        </is>
      </c>
      <c r="N1217" s="11" t="n">
        <v>1.351</v>
      </c>
      <c r="O1217" s="11" t="n">
        <v>1.824</v>
      </c>
      <c r="P1217" s="12" t="n">
        <v>4.5</v>
      </c>
    </row>
    <row r="1218">
      <c r="B1218" s="16" t="inlineStr">
        <is>
          <t>MUM</t>
        </is>
      </c>
      <c r="C1218" s="16" t="inlineStr">
        <is>
          <t>VEH-MUM-023</t>
        </is>
      </c>
      <c r="D1218" s="16" t="n">
        <v>1</v>
      </c>
      <c r="E1218" s="16" t="inlineStr">
        <is>
          <t>ORD-MUM-002438</t>
        </is>
      </c>
      <c r="F1218" s="16" t="inlineStr">
        <is>
          <t>FMCG_RETAIL</t>
        </is>
      </c>
      <c r="G1218" s="16" t="inlineStr">
        <is>
          <t>South Mumbai</t>
        </is>
      </c>
      <c r="H1218" s="16" t="n">
        <v>105.41</v>
      </c>
      <c r="I1218" s="16" t="n">
        <v>540</v>
      </c>
      <c r="J1218" s="16" t="n">
        <v>780</v>
      </c>
      <c r="K1218" s="18" t="n">
        <v>488</v>
      </c>
      <c r="L1218" s="18" t="n">
        <v>0</v>
      </c>
      <c r="M1218" s="16" t="inlineStr">
        <is>
          <t>Yes</t>
        </is>
      </c>
      <c r="N1218" s="17" t="n">
        <v>22.05</v>
      </c>
      <c r="O1218" s="17" t="n">
        <v>29.768</v>
      </c>
      <c r="P1218" s="18" t="n">
        <v>65</v>
      </c>
    </row>
    <row r="1219">
      <c r="B1219" s="10" t="inlineStr">
        <is>
          <t>MUM</t>
        </is>
      </c>
      <c r="C1219" s="10" t="inlineStr">
        <is>
          <t>VEH-MUM-023</t>
        </is>
      </c>
      <c r="D1219" s="10" t="n">
        <v>2</v>
      </c>
      <c r="E1219" s="10" t="inlineStr">
        <is>
          <t>ORD-MUM-002442</t>
        </is>
      </c>
      <c r="F1219" s="10" t="inlineStr">
        <is>
          <t>FMCG_RETAIL</t>
        </is>
      </c>
      <c r="G1219" s="10" t="inlineStr">
        <is>
          <t>South Mumbai</t>
        </is>
      </c>
      <c r="H1219" s="10" t="n">
        <v>119.74</v>
      </c>
      <c r="I1219" s="10" t="n">
        <v>540</v>
      </c>
      <c r="J1219" s="10" t="n">
        <v>780</v>
      </c>
      <c r="K1219" s="12" t="n">
        <v>553.7</v>
      </c>
      <c r="L1219" s="12" t="n">
        <v>0</v>
      </c>
      <c r="M1219" s="10" t="inlineStr">
        <is>
          <t>Yes</t>
        </is>
      </c>
      <c r="N1219" s="11" t="n">
        <v>0</v>
      </c>
      <c r="O1219" s="11" t="n">
        <v>0</v>
      </c>
      <c r="P1219" s="12" t="n">
        <v>0</v>
      </c>
    </row>
    <row r="1220">
      <c r="B1220" s="16" t="inlineStr">
        <is>
          <t>MUM</t>
        </is>
      </c>
      <c r="C1220" s="16" t="inlineStr">
        <is>
          <t>VEH-MUM-023</t>
        </is>
      </c>
      <c r="D1220" s="16" t="n">
        <v>3</v>
      </c>
      <c r="E1220" s="16" t="inlineStr">
        <is>
          <t>ORD-MUM-002454</t>
        </is>
      </c>
      <c r="F1220" s="16" t="inlineStr">
        <is>
          <t>FMCG_RETAIL</t>
        </is>
      </c>
      <c r="G1220" s="16" t="inlineStr">
        <is>
          <t>South Mumbai</t>
        </is>
      </c>
      <c r="H1220" s="16" t="n">
        <v>90.77</v>
      </c>
      <c r="I1220" s="16" t="n">
        <v>600</v>
      </c>
      <c r="J1220" s="16" t="n">
        <v>960</v>
      </c>
      <c r="K1220" s="18" t="n">
        <v>568.8</v>
      </c>
      <c r="L1220" s="18" t="n">
        <v>0</v>
      </c>
      <c r="M1220" s="16" t="inlineStr">
        <is>
          <t>Yes</t>
        </is>
      </c>
      <c r="N1220" s="17" t="n">
        <v>0.17</v>
      </c>
      <c r="O1220" s="17" t="n">
        <v>0.229</v>
      </c>
      <c r="P1220" s="18" t="n">
        <v>0.9</v>
      </c>
    </row>
    <row r="1221">
      <c r="B1221" s="10" t="inlineStr">
        <is>
          <t>MUM</t>
        </is>
      </c>
      <c r="C1221" s="10" t="inlineStr">
        <is>
          <t>VEH-MUM-023</t>
        </is>
      </c>
      <c r="D1221" s="10" t="n">
        <v>4</v>
      </c>
      <c r="E1221" s="10" t="inlineStr">
        <is>
          <t>ORD-MUM-002419</t>
        </is>
      </c>
      <c r="F1221" s="10" t="inlineStr">
        <is>
          <t>FMCG_RETAIL</t>
        </is>
      </c>
      <c r="G1221" s="10" t="inlineStr">
        <is>
          <t>South Mumbai</t>
        </is>
      </c>
      <c r="H1221" s="10" t="n">
        <v>56.5</v>
      </c>
      <c r="I1221" s="10" t="n">
        <v>540</v>
      </c>
      <c r="J1221" s="10" t="n">
        <v>780</v>
      </c>
      <c r="K1221" s="12" t="n">
        <v>623.3</v>
      </c>
      <c r="L1221" s="12" t="n">
        <v>0</v>
      </c>
      <c r="M1221" s="10" t="inlineStr">
        <is>
          <t>Yes</t>
        </is>
      </c>
      <c r="N1221" s="11" t="n">
        <v>1.914</v>
      </c>
      <c r="O1221" s="11" t="n">
        <v>2.584</v>
      </c>
      <c r="P1221" s="12" t="n">
        <v>10.2</v>
      </c>
    </row>
    <row r="1222">
      <c r="B1222" s="16" t="inlineStr">
        <is>
          <t>MUM</t>
        </is>
      </c>
      <c r="C1222" s="16" t="inlineStr">
        <is>
          <t>VEH-MUM-023</t>
        </is>
      </c>
      <c r="D1222" s="16" t="n">
        <v>5</v>
      </c>
      <c r="E1222" s="16" t="inlineStr">
        <is>
          <t>ORD-MUM-002452</t>
        </is>
      </c>
      <c r="F1222" s="16" t="inlineStr">
        <is>
          <t>FMCG_RETAIL</t>
        </is>
      </c>
      <c r="G1222" s="16" t="inlineStr">
        <is>
          <t>South Mumbai</t>
        </is>
      </c>
      <c r="H1222" s="16" t="n">
        <v>103.36</v>
      </c>
      <c r="I1222" s="16" t="n">
        <v>600</v>
      </c>
      <c r="J1222" s="16" t="n">
        <v>960</v>
      </c>
      <c r="K1222" s="18" t="n">
        <v>637.4</v>
      </c>
      <c r="L1222" s="18" t="n">
        <v>0</v>
      </c>
      <c r="M1222" s="16" t="inlineStr">
        <is>
          <t>Yes</t>
        </is>
      </c>
      <c r="N1222" s="17" t="n">
        <v>0.385</v>
      </c>
      <c r="O1222" s="17" t="n">
        <v>0.52</v>
      </c>
      <c r="P1222" s="18" t="n">
        <v>2</v>
      </c>
    </row>
    <row r="1223">
      <c r="B1223" s="10" t="inlineStr">
        <is>
          <t>MUM</t>
        </is>
      </c>
      <c r="C1223" s="10" t="inlineStr">
        <is>
          <t>VEH-MUM-023</t>
        </is>
      </c>
      <c r="D1223" s="10" t="n">
        <v>6</v>
      </c>
      <c r="E1223" s="10" t="inlineStr">
        <is>
          <t>ORD-MUM-002421</t>
        </is>
      </c>
      <c r="F1223" s="10" t="inlineStr">
        <is>
          <t>FMCG_RETAIL</t>
        </is>
      </c>
      <c r="G1223" s="10" t="inlineStr">
        <is>
          <t>South Mumbai</t>
        </is>
      </c>
      <c r="H1223" s="10" t="n">
        <v>183.66</v>
      </c>
      <c r="I1223" s="10" t="n">
        <v>600</v>
      </c>
      <c r="J1223" s="10" t="n">
        <v>960</v>
      </c>
      <c r="K1223" s="12" t="n">
        <v>667.5</v>
      </c>
      <c r="L1223" s="12" t="n">
        <v>0</v>
      </c>
      <c r="M1223" s="10" t="inlineStr">
        <is>
          <t>Yes</t>
        </is>
      </c>
      <c r="N1223" s="11" t="n">
        <v>3.109</v>
      </c>
      <c r="O1223" s="11" t="n">
        <v>4.197</v>
      </c>
      <c r="P1223" s="12" t="n">
        <v>16.5</v>
      </c>
    </row>
    <row r="1224">
      <c r="B1224" s="16" t="inlineStr">
        <is>
          <t>MUM</t>
        </is>
      </c>
      <c r="C1224" s="16" t="inlineStr">
        <is>
          <t>VEH-MUM-023</t>
        </is>
      </c>
      <c r="D1224" s="16" t="n">
        <v>7</v>
      </c>
      <c r="E1224" s="16" t="inlineStr">
        <is>
          <t>ORD-MUM-002450</t>
        </is>
      </c>
      <c r="F1224" s="16" t="inlineStr">
        <is>
          <t>FMCG_RETAIL</t>
        </is>
      </c>
      <c r="G1224" s="16" t="inlineStr">
        <is>
          <t>South Mumbai</t>
        </is>
      </c>
      <c r="H1224" s="16" t="n">
        <v>137.49</v>
      </c>
      <c r="I1224" s="16" t="n">
        <v>840</v>
      </c>
      <c r="J1224" s="16" t="n">
        <v>1080</v>
      </c>
      <c r="K1224" s="18" t="n">
        <v>690.7</v>
      </c>
      <c r="L1224" s="18" t="n">
        <v>0</v>
      </c>
      <c r="M1224" s="16" t="inlineStr">
        <is>
          <t>Yes</t>
        </is>
      </c>
      <c r="N1224" s="17" t="n">
        <v>2.116</v>
      </c>
      <c r="O1224" s="17" t="n">
        <v>2.856</v>
      </c>
      <c r="P1224" s="18" t="n">
        <v>6.9</v>
      </c>
    </row>
    <row r="1225">
      <c r="B1225" s="10" t="inlineStr">
        <is>
          <t>MUM</t>
        </is>
      </c>
      <c r="C1225" s="10" t="inlineStr">
        <is>
          <t>VEH-MUM-023</t>
        </is>
      </c>
      <c r="D1225" s="10" t="n">
        <v>8</v>
      </c>
      <c r="E1225" s="10" t="inlineStr">
        <is>
          <t>ORD-MUM-002429</t>
        </is>
      </c>
      <c r="F1225" s="10" t="inlineStr">
        <is>
          <t>FMCG_RETAIL</t>
        </is>
      </c>
      <c r="G1225" s="10" t="inlineStr">
        <is>
          <t>South Mumbai</t>
        </is>
      </c>
      <c r="H1225" s="10" t="n">
        <v>86.67</v>
      </c>
      <c r="I1225" s="10" t="n">
        <v>840</v>
      </c>
      <c r="J1225" s="10" t="n">
        <v>1080</v>
      </c>
      <c r="K1225" s="12" t="n">
        <v>855.2</v>
      </c>
      <c r="L1225" s="12" t="n">
        <v>0</v>
      </c>
      <c r="M1225" s="10" t="inlineStr">
        <is>
          <t>Yes</t>
        </is>
      </c>
      <c r="N1225" s="11" t="n">
        <v>0.13</v>
      </c>
      <c r="O1225" s="11" t="n">
        <v>0.175</v>
      </c>
      <c r="P1225" s="12" t="n">
        <v>0.4</v>
      </c>
    </row>
    <row r="1226">
      <c r="B1226" s="16" t="inlineStr">
        <is>
          <t>MUM</t>
        </is>
      </c>
      <c r="C1226" s="16" t="inlineStr">
        <is>
          <t>VEH-MUM-023</t>
        </is>
      </c>
      <c r="D1226" s="16" t="n">
        <v>9</v>
      </c>
      <c r="E1226" s="16" t="inlineStr">
        <is>
          <t>ORD-MUM-002436</t>
        </is>
      </c>
      <c r="F1226" s="16" t="inlineStr">
        <is>
          <t>FMCG_RETAIL</t>
        </is>
      </c>
      <c r="G1226" s="16" t="inlineStr">
        <is>
          <t>South Mumbai</t>
        </is>
      </c>
      <c r="H1226" s="16" t="n">
        <v>52.4</v>
      </c>
      <c r="I1226" s="16" t="n">
        <v>840</v>
      </c>
      <c r="J1226" s="16" t="n">
        <v>1080</v>
      </c>
      <c r="K1226" s="18" t="n">
        <v>868.3</v>
      </c>
      <c r="L1226" s="18" t="n">
        <v>0</v>
      </c>
      <c r="M1226" s="16" t="inlineStr">
        <is>
          <t>Yes</t>
        </is>
      </c>
      <c r="N1226" s="17" t="n">
        <v>0</v>
      </c>
      <c r="O1226" s="17" t="n">
        <v>0</v>
      </c>
      <c r="P1226" s="18" t="n">
        <v>0</v>
      </c>
    </row>
    <row r="1227">
      <c r="B1227" s="10" t="inlineStr">
        <is>
          <t>MUM</t>
        </is>
      </c>
      <c r="C1227" s="10" t="inlineStr">
        <is>
          <t>VEH-MUM-025</t>
        </is>
      </c>
      <c r="D1227" s="10" t="n">
        <v>1</v>
      </c>
      <c r="E1227" s="10" t="inlineStr">
        <is>
          <t>ORD-MUM-002362</t>
        </is>
      </c>
      <c r="F1227" s="10" t="inlineStr">
        <is>
          <t>ECOM_B2C</t>
        </is>
      </c>
      <c r="G1227" s="10" t="inlineStr">
        <is>
          <t>Navi Mumbai</t>
        </is>
      </c>
      <c r="H1227" s="10" t="n">
        <v>12.85</v>
      </c>
      <c r="I1227" s="10" t="n">
        <v>900</v>
      </c>
      <c r="J1227" s="10" t="n">
        <v>1080</v>
      </c>
      <c r="K1227" s="12" t="n">
        <v>900</v>
      </c>
      <c r="L1227" s="12" t="n">
        <v>0</v>
      </c>
      <c r="M1227" s="10" t="inlineStr">
        <is>
          <t>Yes</t>
        </is>
      </c>
      <c r="N1227" s="11" t="n">
        <v>1.421</v>
      </c>
      <c r="O1227" s="11" t="n">
        <v>1.918</v>
      </c>
      <c r="P1227" s="12" t="n">
        <v>4.1</v>
      </c>
    </row>
    <row r="1228">
      <c r="B1228" s="16" t="inlineStr">
        <is>
          <t>MUM</t>
        </is>
      </c>
      <c r="C1228" s="16" t="inlineStr">
        <is>
          <t>VEH-MUM-025</t>
        </is>
      </c>
      <c r="D1228" s="16" t="n">
        <v>2</v>
      </c>
      <c r="E1228" s="16" t="inlineStr">
        <is>
          <t>ORD-MUM-002320</t>
        </is>
      </c>
      <c r="F1228" s="16" t="inlineStr">
        <is>
          <t>ECOM_B2C</t>
        </is>
      </c>
      <c r="G1228" s="16" t="inlineStr">
        <is>
          <t>Navi Mumbai</t>
        </is>
      </c>
      <c r="H1228" s="16" t="n">
        <v>0.2</v>
      </c>
      <c r="I1228" s="16" t="n">
        <v>900</v>
      </c>
      <c r="J1228" s="16" t="n">
        <v>1080</v>
      </c>
      <c r="K1228" s="18" t="n">
        <v>931.8</v>
      </c>
      <c r="L1228" s="18" t="n">
        <v>0</v>
      </c>
      <c r="M1228" s="16" t="inlineStr">
        <is>
          <t>Yes</t>
        </is>
      </c>
      <c r="N1228" s="17" t="n">
        <v>9.701000000000001</v>
      </c>
      <c r="O1228" s="17" t="n">
        <v>13.097</v>
      </c>
      <c r="P1228" s="18" t="n">
        <v>27.8</v>
      </c>
    </row>
    <row r="1229">
      <c r="B1229" s="10" t="inlineStr">
        <is>
          <t>MUM</t>
        </is>
      </c>
      <c r="C1229" s="10" t="inlineStr">
        <is>
          <t>VEH-MUM-025</t>
        </is>
      </c>
      <c r="D1229" s="10" t="n">
        <v>3</v>
      </c>
      <c r="E1229" s="10" t="inlineStr">
        <is>
          <t>ORD-MUM-002325</t>
        </is>
      </c>
      <c r="F1229" s="10" t="inlineStr">
        <is>
          <t>ECOM_B2C</t>
        </is>
      </c>
      <c r="G1229" s="10" t="inlineStr">
        <is>
          <t>Navi Mumbai</t>
        </is>
      </c>
      <c r="H1229" s="10" t="n">
        <v>3.57</v>
      </c>
      <c r="I1229" s="10" t="n">
        <v>1080</v>
      </c>
      <c r="J1229" s="10" t="n">
        <v>1260</v>
      </c>
      <c r="K1229" s="12" t="n">
        <v>937.8</v>
      </c>
      <c r="L1229" s="12" t="n">
        <v>0</v>
      </c>
      <c r="M1229" s="10" t="inlineStr">
        <is>
          <t>Yes</t>
        </is>
      </c>
      <c r="N1229" s="11" t="n">
        <v>0.716</v>
      </c>
      <c r="O1229" s="11" t="n">
        <v>0.966</v>
      </c>
      <c r="P1229" s="12" t="n">
        <v>2</v>
      </c>
    </row>
    <row r="1230">
      <c r="B1230" s="16" t="inlineStr">
        <is>
          <t>MUM</t>
        </is>
      </c>
      <c r="C1230" s="16" t="inlineStr">
        <is>
          <t>VEH-MUM-025</t>
        </is>
      </c>
      <c r="D1230" s="16" t="n">
        <v>4</v>
      </c>
      <c r="E1230" s="16" t="inlineStr">
        <is>
          <t>ORD-MUM-002356</t>
        </is>
      </c>
      <c r="F1230" s="16" t="inlineStr">
        <is>
          <t>ECOM_B2C</t>
        </is>
      </c>
      <c r="G1230" s="16" t="inlineStr">
        <is>
          <t>Navi Mumbai</t>
        </is>
      </c>
      <c r="H1230" s="16" t="n">
        <v>1.15</v>
      </c>
      <c r="I1230" s="16" t="n">
        <v>1080</v>
      </c>
      <c r="J1230" s="16" t="n">
        <v>1260</v>
      </c>
      <c r="K1230" s="18" t="n">
        <v>1084.6</v>
      </c>
      <c r="L1230" s="18" t="n">
        <v>0</v>
      </c>
      <c r="M1230" s="16" t="inlineStr">
        <is>
          <t>Yes</t>
        </is>
      </c>
      <c r="N1230" s="17" t="n">
        <v>0.106</v>
      </c>
      <c r="O1230" s="17" t="n">
        <v>0.143</v>
      </c>
      <c r="P1230" s="18" t="n">
        <v>0.6</v>
      </c>
    </row>
    <row r="1231">
      <c r="B1231" s="10" t="inlineStr">
        <is>
          <t>MUM</t>
        </is>
      </c>
      <c r="C1231" s="10" t="inlineStr">
        <is>
          <t>VEH-MUM-025</t>
        </is>
      </c>
      <c r="D1231" s="10" t="n">
        <v>5</v>
      </c>
      <c r="E1231" s="10" t="inlineStr">
        <is>
          <t>ORD-MUM-002386</t>
        </is>
      </c>
      <c r="F1231" s="10" t="inlineStr">
        <is>
          <t>ECOM_B2C</t>
        </is>
      </c>
      <c r="G1231" s="10" t="inlineStr">
        <is>
          <t>Navi Mumbai</t>
        </is>
      </c>
      <c r="H1231" s="10" t="n">
        <v>3.22</v>
      </c>
      <c r="I1231" s="10" t="n">
        <v>1080</v>
      </c>
      <c r="J1231" s="10" t="n">
        <v>1260</v>
      </c>
      <c r="K1231" s="12" t="n">
        <v>1173</v>
      </c>
      <c r="L1231" s="12" t="n">
        <v>0</v>
      </c>
      <c r="M1231" s="10" t="inlineStr">
        <is>
          <t>Yes</t>
        </is>
      </c>
      <c r="N1231" s="11" t="n">
        <v>14.725</v>
      </c>
      <c r="O1231" s="11" t="n">
        <v>19.878</v>
      </c>
      <c r="P1231" s="12" t="n">
        <v>84.40000000000001</v>
      </c>
    </row>
    <row r="1232">
      <c r="B1232" s="16" t="inlineStr">
        <is>
          <t>MUM</t>
        </is>
      </c>
      <c r="C1232" s="16" t="inlineStr">
        <is>
          <t>VEH-MUM-025</t>
        </is>
      </c>
      <c r="D1232" s="16" t="n">
        <v>6</v>
      </c>
      <c r="E1232" s="16" t="inlineStr">
        <is>
          <t>ORD-MUM-002330</t>
        </is>
      </c>
      <c r="F1232" s="16" t="inlineStr">
        <is>
          <t>ECOM_B2C</t>
        </is>
      </c>
      <c r="G1232" s="16" t="inlineStr">
        <is>
          <t>Navi Mumbai</t>
        </is>
      </c>
      <c r="H1232" s="16" t="n">
        <v>3.13</v>
      </c>
      <c r="I1232" s="16" t="n">
        <v>1080</v>
      </c>
      <c r="J1232" s="16" t="n">
        <v>1260</v>
      </c>
      <c r="K1232" s="18" t="n">
        <v>1191.6</v>
      </c>
      <c r="L1232" s="18" t="n">
        <v>0</v>
      </c>
      <c r="M1232" s="16" t="inlineStr">
        <is>
          <t>Yes</t>
        </is>
      </c>
      <c r="N1232" s="17" t="n">
        <v>2.554</v>
      </c>
      <c r="O1232" s="17" t="n">
        <v>3.448</v>
      </c>
      <c r="P1232" s="18" t="n">
        <v>14.6</v>
      </c>
    </row>
  </sheetData>
  <mergeCells count="1">
    <mergeCell ref="B1:P1"/>
  </mergeCells>
  <conditionalFormatting sqref="E6:E30">
    <cfRule type="colorScale" priority="1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F6:F30">
    <cfRule type="colorScale" priority="2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H6:H30">
    <cfRule type="dataBar" priority="3">
      <dataBar showValue="1">
        <cfvo type="min"/>
        <cfvo type="max"/>
        <color rgb="00E3A21A"/>
      </dataBar>
    </cfRule>
  </conditionalFormatting>
  <conditionalFormatting sqref="G36:G114">
    <cfRule type="dataBar" priority="4">
      <dataBar showValue="1">
        <cfvo type="min"/>
        <cfvo type="max"/>
        <color rgb="000E7C86"/>
      </dataBar>
    </cfRule>
  </conditionalFormatting>
  <conditionalFormatting sqref="H36:H114">
    <cfRule type="dataBar" priority="5">
      <dataBar showValue="1">
        <cfvo type="min"/>
        <cfvo type="max"/>
        <color rgb="00E3A21A"/>
      </dataBar>
    </cfRule>
  </conditionalFormatting>
  <conditionalFormatting sqref="N36:N114">
    <cfRule type="cellIs" priority="6" operator="equal" dxfId="0">
      <formula>"Yes"</formula>
    </cfRule>
  </conditionalFormatting>
  <conditionalFormatting sqref="M133:M1232">
    <cfRule type="cellIs" priority="7" operator="equal" dxfId="0">
      <formula>"No"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R7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0" customWidth="1" min="18" max="18"/>
  </cols>
  <sheetData>
    <row r="1" ht="34" customHeight="1">
      <c r="A1" s="1" t="n"/>
      <c r="B1" s="2" t="inlineStr">
        <is>
          <t>Fleet Sizing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B2" s="3" t="inlineStr">
        <is>
          <t>Minimum fleet and vehicle mix per demand level (fleet-size-and-mix CVRPTW) · own vs lease TCO</t>
        </is>
      </c>
    </row>
    <row r="4" ht="30" customHeight="1">
      <c r="B4" s="4" t="n">
        <v>87</v>
      </c>
      <c r="C4" s="5" t="n"/>
      <c r="D4" s="5" t="n"/>
      <c r="E4" s="34" t="n">
        <v>1</v>
      </c>
      <c r="F4" s="5" t="n"/>
      <c r="G4" s="5" t="n"/>
      <c r="H4" s="50" t="n">
        <v>277</v>
      </c>
      <c r="I4" s="5" t="n"/>
      <c r="J4" s="5" t="n"/>
      <c r="K4" s="50" t="n">
        <v>1</v>
      </c>
      <c r="L4" s="5" t="n"/>
      <c r="M4" s="5" t="n"/>
    </row>
    <row r="5" ht="26" customHeight="1">
      <c r="B5" s="6" t="inlineStr">
        <is>
          <t>Recommended fleet at 1.0x (all cities) · current 125</t>
        </is>
      </c>
      <c r="C5" s="5" t="n"/>
      <c r="D5" s="5" t="n"/>
      <c r="E5" s="35" t="inlineStr">
        <is>
          <t>Highest level the current fleet serves at target</t>
        </is>
      </c>
      <c r="F5" s="5" t="n"/>
      <c r="G5" s="5" t="n"/>
      <c r="H5" s="51" t="inlineStr">
        <is>
          <t>Fleet needed at 3x (highest level modelled)</t>
        </is>
      </c>
      <c r="I5" s="5" t="n"/>
      <c r="J5" s="5" t="n"/>
      <c r="K5" s="51" t="inlineStr">
        <is>
          <t>Infeasible city-levels</t>
        </is>
      </c>
      <c r="L5" s="5" t="n"/>
      <c r="M5" s="5" t="n"/>
    </row>
    <row r="7">
      <c r="B7" s="7" t="inlineStr">
        <is>
          <t>Recommended fleet by demand level</t>
        </is>
      </c>
      <c r="C7" s="8" t="n"/>
      <c r="D7" s="8" t="n"/>
      <c r="E7" s="8" t="n"/>
      <c r="F7" s="8" t="n"/>
      <c r="G7" s="8" t="n"/>
      <c r="H7" s="8" t="n"/>
    </row>
    <row r="8" ht="30" customHeight="1">
      <c r="B8" s="9" t="inlineStr">
        <is>
          <t>Demand level</t>
        </is>
      </c>
      <c r="C8" s="9" t="inlineStr">
        <is>
          <t>Mumbai MMR</t>
        </is>
      </c>
      <c r="D8" s="9" t="inlineStr">
        <is>
          <t>Delhi NCR</t>
        </is>
      </c>
      <c r="E8" s="9" t="inlineStr">
        <is>
          <t>Bengaluru</t>
        </is>
      </c>
      <c r="F8" s="9" t="inlineStr">
        <is>
          <t>Chennai</t>
        </is>
      </c>
      <c r="G8" s="9" t="inlineStr">
        <is>
          <t>Kolkata</t>
        </is>
      </c>
    </row>
    <row r="9">
      <c r="B9" s="52" t="n">
        <v>0.5</v>
      </c>
      <c r="C9" s="13" t="n">
        <v>14</v>
      </c>
      <c r="D9" s="13" t="n">
        <v>16</v>
      </c>
      <c r="E9" s="13" t="n">
        <v>12</v>
      </c>
      <c r="F9" s="13" t="n">
        <v>11</v>
      </c>
      <c r="G9" s="13" t="n">
        <v>8</v>
      </c>
    </row>
    <row r="10">
      <c r="B10" s="53" t="n">
        <v>0.75</v>
      </c>
      <c r="C10" s="19" t="n">
        <v>18</v>
      </c>
      <c r="D10" s="19" t="n">
        <v>18</v>
      </c>
      <c r="E10" s="19" t="n">
        <v>15</v>
      </c>
      <c r="F10" s="19" t="n">
        <v>13</v>
      </c>
      <c r="G10" s="19" t="n">
        <v>11</v>
      </c>
    </row>
    <row r="11">
      <c r="B11" s="52" t="n">
        <v>1</v>
      </c>
      <c r="C11" s="13" t="n">
        <v>20</v>
      </c>
      <c r="D11" s="13" t="n">
        <v>21</v>
      </c>
      <c r="E11" s="13" t="n">
        <v>18</v>
      </c>
      <c r="F11" s="13" t="n">
        <v>16</v>
      </c>
      <c r="G11" s="13" t="n">
        <v>12</v>
      </c>
    </row>
    <row r="12">
      <c r="B12" s="53" t="n">
        <v>1.5</v>
      </c>
      <c r="C12" s="19" t="n">
        <v>29</v>
      </c>
      <c r="D12" s="19" t="n">
        <v>32</v>
      </c>
      <c r="E12" s="19" t="n">
        <v>26</v>
      </c>
      <c r="F12" s="19" t="n">
        <v>23</v>
      </c>
      <c r="G12" s="19" t="n">
        <v>16</v>
      </c>
    </row>
    <row r="13">
      <c r="B13" s="52" t="n">
        <v>2</v>
      </c>
      <c r="C13" s="13" t="n">
        <v>40</v>
      </c>
      <c r="D13" s="13" t="n">
        <v>41</v>
      </c>
      <c r="E13" s="13" t="n">
        <v>35</v>
      </c>
      <c r="F13" s="13" t="n">
        <v>31</v>
      </c>
      <c r="G13" s="13" t="n">
        <v>23</v>
      </c>
    </row>
    <row r="14">
      <c r="B14" s="53" t="n">
        <v>3</v>
      </c>
      <c r="C14" s="19" t="n">
        <v>66</v>
      </c>
      <c r="D14" s="19" t="n">
        <v>70</v>
      </c>
      <c r="E14" s="19" t="n">
        <v>51</v>
      </c>
      <c r="F14" s="19" t="n">
        <v>48</v>
      </c>
      <c r="G14" s="19" t="n">
        <v>42</v>
      </c>
    </row>
    <row r="17">
      <c r="B17" s="7" t="inlineStr">
        <is>
          <t>Current 25-vehicle fleet: compliance by demand level</t>
        </is>
      </c>
      <c r="C17" s="8" t="n"/>
      <c r="D17" s="8" t="n"/>
      <c r="E17" s="8" t="n"/>
      <c r="F17" s="8" t="n"/>
      <c r="G17" s="8" t="n"/>
      <c r="H17" s="8" t="n"/>
      <c r="I17" s="8" t="n"/>
    </row>
    <row r="18" ht="30" customHeight="1">
      <c r="B18" s="9" t="inlineStr">
        <is>
          <t>Demand level</t>
        </is>
      </c>
      <c r="C18" s="9" t="inlineStr">
        <is>
          <t>Mumbai MMR</t>
        </is>
      </c>
      <c r="D18" s="9" t="inlineStr">
        <is>
          <t>Delhi NCR</t>
        </is>
      </c>
      <c r="E18" s="9" t="inlineStr">
        <is>
          <t>Bengaluru</t>
        </is>
      </c>
      <c r="F18" s="9" t="inlineStr">
        <is>
          <t>Chennai</t>
        </is>
      </c>
      <c r="G18" s="9" t="inlineStr">
        <is>
          <t>Kolkata</t>
        </is>
      </c>
      <c r="H18" s="9" t="inlineStr">
        <is>
          <t>Target</t>
        </is>
      </c>
    </row>
    <row r="19">
      <c r="B19" s="52" t="n">
        <v>0.5</v>
      </c>
      <c r="C19" s="15" t="n">
        <v>0.9728</v>
      </c>
      <c r="D19" s="15" t="n">
        <v>0.9708</v>
      </c>
      <c r="E19" s="15" t="n">
        <v>0.9907</v>
      </c>
      <c r="F19" s="15" t="n">
        <v>1</v>
      </c>
      <c r="G19" s="15" t="n">
        <v>0.9867</v>
      </c>
      <c r="H19" s="15" t="n">
        <v>0.95</v>
      </c>
    </row>
    <row r="20">
      <c r="B20" s="53" t="n">
        <v>0.75</v>
      </c>
      <c r="C20" s="21" t="n">
        <v>0.9811</v>
      </c>
      <c r="D20" s="21" t="n">
        <v>0.97</v>
      </c>
      <c r="E20" s="21" t="n">
        <v>0.9742</v>
      </c>
      <c r="F20" s="21" t="n">
        <v>1</v>
      </c>
      <c r="G20" s="21" t="n">
        <v>1</v>
      </c>
      <c r="H20" s="21" t="n">
        <v>0.95</v>
      </c>
    </row>
    <row r="21">
      <c r="B21" s="52" t="n">
        <v>1</v>
      </c>
      <c r="C21" s="15" t="n">
        <v>1</v>
      </c>
      <c r="D21" s="15" t="n">
        <v>0.9474</v>
      </c>
      <c r="E21" s="15" t="n">
        <v>0.986</v>
      </c>
      <c r="F21" s="15" t="n">
        <v>0.9801</v>
      </c>
      <c r="G21" s="15" t="n">
        <v>0.9931</v>
      </c>
      <c r="H21" s="15" t="n">
        <v>0.95</v>
      </c>
    </row>
    <row r="22">
      <c r="B22" s="53" t="n">
        <v>1.5</v>
      </c>
      <c r="C22" s="21" t="n">
        <v>0.9421</v>
      </c>
      <c r="D22" s="21" t="n">
        <v>0.8025</v>
      </c>
      <c r="E22" s="21" t="n">
        <v>0.9375</v>
      </c>
      <c r="F22" s="21" t="n">
        <v>0.99</v>
      </c>
      <c r="G22" s="21" t="n">
        <v>0.9953</v>
      </c>
      <c r="H22" s="21" t="n">
        <v>0.95</v>
      </c>
    </row>
    <row r="23">
      <c r="B23" s="52" t="n">
        <v>2</v>
      </c>
      <c r="C23" s="15" t="n">
        <v>0.8288</v>
      </c>
      <c r="D23" s="15" t="n">
        <v>0.6862</v>
      </c>
      <c r="E23" s="15" t="n">
        <v>0.9295</v>
      </c>
      <c r="F23" s="15" t="n">
        <v>0.979</v>
      </c>
      <c r="G23" s="15" t="n">
        <v>0.9899</v>
      </c>
      <c r="H23" s="15" t="n">
        <v>0.95</v>
      </c>
    </row>
    <row r="24">
      <c r="B24" s="53" t="n">
        <v>3</v>
      </c>
      <c r="C24" s="21" t="n">
        <v>0.6198</v>
      </c>
      <c r="D24" s="21" t="n">
        <v>0.4523</v>
      </c>
      <c r="E24" s="21" t="n">
        <v>0.7406</v>
      </c>
      <c r="F24" s="21" t="n">
        <v>0.848</v>
      </c>
      <c r="G24" s="21" t="n">
        <v>0.9106</v>
      </c>
      <c r="H24" s="21" t="n">
        <v>0.95</v>
      </c>
    </row>
    <row r="27">
      <c r="B27" s="7" t="inlineStr">
        <is>
          <t>All scenarios (per city and all cities)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 ht="30" customHeight="1">
      <c r="B28" s="9" t="inlineStr">
        <is>
          <t>City</t>
        </is>
      </c>
      <c r="C28" s="9" t="inlineStr">
        <is>
          <t>Level</t>
        </is>
      </c>
      <c r="D28" s="9" t="inlineStr">
        <is>
          <t>Orders</t>
        </is>
      </c>
      <c r="E28" s="9" t="inlineStr">
        <is>
          <t>History days</t>
        </is>
      </c>
      <c r="F28" s="9" t="inlineStr">
        <is>
          <t>Current-fleet compliance</t>
        </is>
      </c>
      <c r="G28" s="9" t="inlineStr">
        <is>
          <t>Current unassigned</t>
        </is>
      </c>
      <c r="H28" s="9" t="inlineStr">
        <is>
          <t>Rec. fleet</t>
        </is>
      </c>
      <c r="I28" s="9" t="inlineStr">
        <is>
          <t>Vans</t>
        </is>
      </c>
      <c r="J28" s="9" t="inlineStr">
        <is>
          <t>Tempos</t>
        </is>
      </c>
      <c r="K28" s="9" t="inlineStr">
        <is>
          <t>2-wheelers</t>
        </is>
      </c>
      <c r="L28" s="9" t="inlineStr">
        <is>
          <t>Rec. compliance</t>
        </is>
      </c>
      <c r="M28" s="9" t="inlineStr">
        <is>
          <t>₹ / order</t>
        </is>
      </c>
      <c r="N28" s="9" t="inlineStr">
        <is>
          <t>Duty util %</t>
        </is>
      </c>
      <c r="O28" s="9" t="inlineStr">
        <is>
          <t>Annual TCO own ₹</t>
        </is>
      </c>
      <c r="P28" s="9" t="inlineStr">
        <is>
          <t>Annual TCO lease ₹</t>
        </is>
      </c>
      <c r="Q28" s="9" t="inlineStr">
        <is>
          <t>Feasible</t>
        </is>
      </c>
      <c r="R28" s="9" t="inlineStr">
        <is>
          <t>Status</t>
        </is>
      </c>
    </row>
    <row r="29">
      <c r="B29" s="10" t="inlineStr">
        <is>
          <t>All cities</t>
        </is>
      </c>
      <c r="C29" s="52" t="n">
        <v>0.5</v>
      </c>
      <c r="D29" s="13" t="n">
        <v>554</v>
      </c>
      <c r="E29" s="10" t="n">
        <v>11</v>
      </c>
      <c r="F29" s="15" t="n">
        <v>0.9819</v>
      </c>
      <c r="G29" s="10" t="n">
        <v>2</v>
      </c>
      <c r="H29" s="10" t="n">
        <v>61</v>
      </c>
      <c r="I29" s="10" t="n">
        <v>4</v>
      </c>
      <c r="J29" s="10" t="n">
        <v>31</v>
      </c>
      <c r="K29" s="10" t="n">
        <v>26</v>
      </c>
      <c r="L29" s="15" t="n">
        <v>0.9856</v>
      </c>
      <c r="M29" s="29" t="n">
        <v>379.23</v>
      </c>
      <c r="N29" s="12" t="n">
        <v>71</v>
      </c>
      <c r="O29" s="30" t="n">
        <v>48576418</v>
      </c>
      <c r="P29" s="30" t="n">
        <v>51212560</v>
      </c>
      <c r="Q29" s="10" t="inlineStr">
        <is>
          <t>Yes</t>
        </is>
      </c>
      <c r="R29" s="10" t="inlineStr">
        <is>
          <t>feasible</t>
        </is>
      </c>
    </row>
    <row r="30">
      <c r="B30" s="16" t="inlineStr">
        <is>
          <t>Mumbai MMR</t>
        </is>
      </c>
      <c r="C30" s="53" t="n">
        <v>0.5</v>
      </c>
      <c r="D30" s="19" t="n">
        <v>147</v>
      </c>
      <c r="E30" s="16" t="n">
        <v>11</v>
      </c>
      <c r="F30" s="21" t="n">
        <v>0.9728</v>
      </c>
      <c r="G30" s="16" t="n">
        <v>0</v>
      </c>
      <c r="H30" s="16" t="n">
        <v>14</v>
      </c>
      <c r="I30" s="16" t="n">
        <v>2</v>
      </c>
      <c r="J30" s="16" t="n">
        <v>6</v>
      </c>
      <c r="K30" s="16" t="n">
        <v>6</v>
      </c>
      <c r="L30" s="21" t="n">
        <v>0.9728</v>
      </c>
      <c r="M30" s="31" t="n">
        <v>343.61</v>
      </c>
      <c r="N30" s="18" t="n">
        <v>74.5</v>
      </c>
      <c r="O30" s="32" t="n">
        <v>12068278</v>
      </c>
      <c r="P30" s="32" t="n">
        <v>12686912</v>
      </c>
      <c r="Q30" s="16" t="inlineStr">
        <is>
          <t>Yes</t>
        </is>
      </c>
      <c r="R30" s="16" t="inlineStr">
        <is>
          <t>feasible</t>
        </is>
      </c>
    </row>
    <row r="31">
      <c r="B31" s="10" t="inlineStr">
        <is>
          <t>Delhi NCR</t>
        </is>
      </c>
      <c r="C31" s="52" t="n">
        <v>0.5</v>
      </c>
      <c r="D31" s="13" t="n">
        <v>137</v>
      </c>
      <c r="E31" s="10" t="n">
        <v>11</v>
      </c>
      <c r="F31" s="15" t="n">
        <v>0.9708</v>
      </c>
      <c r="G31" s="10" t="n">
        <v>2</v>
      </c>
      <c r="H31" s="10" t="n">
        <v>16</v>
      </c>
      <c r="I31" s="10" t="n">
        <v>0</v>
      </c>
      <c r="J31" s="10" t="n">
        <v>11</v>
      </c>
      <c r="K31" s="10" t="n">
        <v>5</v>
      </c>
      <c r="L31" s="15" t="n">
        <v>0.9854000000000001</v>
      </c>
      <c r="M31" s="29" t="n">
        <v>462.93</v>
      </c>
      <c r="N31" s="12" t="n">
        <v>72.59999999999999</v>
      </c>
      <c r="O31" s="30" t="n">
        <v>13497309</v>
      </c>
      <c r="P31" s="30" t="n">
        <v>14263147</v>
      </c>
      <c r="Q31" s="10" t="inlineStr">
        <is>
          <t>Yes</t>
        </is>
      </c>
      <c r="R31" s="10" t="inlineStr">
        <is>
          <t>feasible</t>
        </is>
      </c>
    </row>
    <row r="32">
      <c r="B32" s="16" t="inlineStr">
        <is>
          <t>Bengaluru</t>
        </is>
      </c>
      <c r="C32" s="53" t="n">
        <v>0.5</v>
      </c>
      <c r="D32" s="19" t="n">
        <v>107</v>
      </c>
      <c r="E32" s="16" t="n">
        <v>11</v>
      </c>
      <c r="F32" s="21" t="n">
        <v>0.9907</v>
      </c>
      <c r="G32" s="16" t="n">
        <v>0</v>
      </c>
      <c r="H32" s="16" t="n">
        <v>12</v>
      </c>
      <c r="I32" s="16" t="n">
        <v>0</v>
      </c>
      <c r="J32" s="16" t="n">
        <v>6</v>
      </c>
      <c r="K32" s="16" t="n">
        <v>6</v>
      </c>
      <c r="L32" s="21" t="n">
        <v>0.9907</v>
      </c>
      <c r="M32" s="31" t="n">
        <v>343.82</v>
      </c>
      <c r="N32" s="18" t="n">
        <v>68.3</v>
      </c>
      <c r="O32" s="32" t="n">
        <v>8510374</v>
      </c>
      <c r="P32" s="32" t="n">
        <v>8952339</v>
      </c>
      <c r="Q32" s="16" t="inlineStr">
        <is>
          <t>Yes</t>
        </is>
      </c>
      <c r="R32" s="16" t="inlineStr">
        <is>
          <t>feasible</t>
        </is>
      </c>
    </row>
    <row r="33">
      <c r="B33" s="10" t="inlineStr">
        <is>
          <t>Chennai</t>
        </is>
      </c>
      <c r="C33" s="52" t="n">
        <v>0.5</v>
      </c>
      <c r="D33" s="13" t="n">
        <v>88</v>
      </c>
      <c r="E33" s="10" t="n">
        <v>11</v>
      </c>
      <c r="F33" s="15" t="n">
        <v>1</v>
      </c>
      <c r="G33" s="10" t="n">
        <v>0</v>
      </c>
      <c r="H33" s="10" t="n">
        <v>11</v>
      </c>
      <c r="I33" s="10" t="n">
        <v>1</v>
      </c>
      <c r="J33" s="10" t="n">
        <v>4</v>
      </c>
      <c r="K33" s="10" t="n">
        <v>6</v>
      </c>
      <c r="L33" s="15" t="n">
        <v>1</v>
      </c>
      <c r="M33" s="29" t="n">
        <v>384.38</v>
      </c>
      <c r="N33" s="12" t="n">
        <v>68.2</v>
      </c>
      <c r="O33" s="30" t="n">
        <v>7951452</v>
      </c>
      <c r="P33" s="30" t="n">
        <v>8299221</v>
      </c>
      <c r="Q33" s="10" t="inlineStr">
        <is>
          <t>Yes</t>
        </is>
      </c>
      <c r="R33" s="10" t="inlineStr">
        <is>
          <t>feasible</t>
        </is>
      </c>
    </row>
    <row r="34">
      <c r="B34" s="16" t="inlineStr">
        <is>
          <t>Kolkata</t>
        </is>
      </c>
      <c r="C34" s="53" t="n">
        <v>0.5</v>
      </c>
      <c r="D34" s="19" t="n">
        <v>75</v>
      </c>
      <c r="E34" s="16" t="n">
        <v>11</v>
      </c>
      <c r="F34" s="21" t="n">
        <v>0.9867</v>
      </c>
      <c r="G34" s="16" t="n">
        <v>0</v>
      </c>
      <c r="H34" s="16" t="n">
        <v>8</v>
      </c>
      <c r="I34" s="16" t="n">
        <v>1</v>
      </c>
      <c r="J34" s="16" t="n">
        <v>4</v>
      </c>
      <c r="K34" s="16" t="n">
        <v>3</v>
      </c>
      <c r="L34" s="21" t="n">
        <v>0.9867</v>
      </c>
      <c r="M34" s="31" t="n">
        <v>340.64</v>
      </c>
      <c r="N34" s="18" t="n">
        <v>69.8</v>
      </c>
      <c r="O34" s="32" t="n">
        <v>5830634</v>
      </c>
      <c r="P34" s="32" t="n">
        <v>6292569</v>
      </c>
      <c r="Q34" s="16" t="inlineStr">
        <is>
          <t>Yes</t>
        </is>
      </c>
      <c r="R34" s="16" t="inlineStr">
        <is>
          <t>feasible</t>
        </is>
      </c>
    </row>
    <row r="35">
      <c r="B35" s="10" t="inlineStr">
        <is>
          <t>All cities</t>
        </is>
      </c>
      <c r="C35" s="52" t="n">
        <v>0.75</v>
      </c>
      <c r="D35" s="13" t="n">
        <v>832</v>
      </c>
      <c r="E35" s="10" t="n">
        <v>9</v>
      </c>
      <c r="F35" s="15" t="n">
        <v>0.9832</v>
      </c>
      <c r="G35" s="10" t="n">
        <v>3</v>
      </c>
      <c r="H35" s="10" t="n">
        <v>75</v>
      </c>
      <c r="I35" s="10" t="n">
        <v>6</v>
      </c>
      <c r="J35" s="10" t="n">
        <v>45</v>
      </c>
      <c r="K35" s="10" t="n">
        <v>24</v>
      </c>
      <c r="L35" s="15" t="n">
        <v>0.988</v>
      </c>
      <c r="M35" s="29" t="n">
        <v>332.58</v>
      </c>
      <c r="N35" s="12" t="n">
        <v>70.40000000000001</v>
      </c>
      <c r="O35" s="30" t="n">
        <v>63825583</v>
      </c>
      <c r="P35" s="30" t="n">
        <v>67763681</v>
      </c>
      <c r="Q35" s="10" t="inlineStr">
        <is>
          <t>Yes</t>
        </is>
      </c>
      <c r="R35" s="10" t="inlineStr">
        <is>
          <t>feasible</t>
        </is>
      </c>
    </row>
    <row r="36">
      <c r="B36" s="16" t="inlineStr">
        <is>
          <t>Mumbai MMR</t>
        </is>
      </c>
      <c r="C36" s="53" t="n">
        <v>0.75</v>
      </c>
      <c r="D36" s="19" t="n">
        <v>212</v>
      </c>
      <c r="E36" s="16" t="n">
        <v>9</v>
      </c>
      <c r="F36" s="21" t="n">
        <v>0.9811</v>
      </c>
      <c r="G36" s="16" t="n">
        <v>0</v>
      </c>
      <c r="H36" s="16" t="n">
        <v>18</v>
      </c>
      <c r="I36" s="16" t="n">
        <v>2</v>
      </c>
      <c r="J36" s="16" t="n">
        <v>10</v>
      </c>
      <c r="K36" s="16" t="n">
        <v>6</v>
      </c>
      <c r="L36" s="21" t="n">
        <v>0.9858</v>
      </c>
      <c r="M36" s="31" t="n">
        <v>314.76</v>
      </c>
      <c r="N36" s="18" t="n">
        <v>71.2</v>
      </c>
      <c r="O36" s="32" t="n">
        <v>15627927</v>
      </c>
      <c r="P36" s="32" t="n">
        <v>16564692</v>
      </c>
      <c r="Q36" s="16" t="inlineStr">
        <is>
          <t>Yes</t>
        </is>
      </c>
      <c r="R36" s="16" t="inlineStr">
        <is>
          <t>feasible</t>
        </is>
      </c>
    </row>
    <row r="37">
      <c r="B37" s="10" t="inlineStr">
        <is>
          <t>Delhi NCR</t>
        </is>
      </c>
      <c r="C37" s="52" t="n">
        <v>0.75</v>
      </c>
      <c r="D37" s="13" t="n">
        <v>200</v>
      </c>
      <c r="E37" s="10" t="n">
        <v>9</v>
      </c>
      <c r="F37" s="15" t="n">
        <v>0.97</v>
      </c>
      <c r="G37" s="10" t="n">
        <v>3</v>
      </c>
      <c r="H37" s="10" t="n">
        <v>18</v>
      </c>
      <c r="I37" s="10" t="n">
        <v>1</v>
      </c>
      <c r="J37" s="10" t="n">
        <v>12</v>
      </c>
      <c r="K37" s="10" t="n">
        <v>5</v>
      </c>
      <c r="L37" s="15" t="n">
        <v>0.99</v>
      </c>
      <c r="M37" s="29" t="n">
        <v>376.34</v>
      </c>
      <c r="N37" s="12" t="n">
        <v>75.7</v>
      </c>
      <c r="O37" s="30" t="n">
        <v>16429251</v>
      </c>
      <c r="P37" s="30" t="n">
        <v>17338435</v>
      </c>
      <c r="Q37" s="10" t="inlineStr">
        <is>
          <t>Yes</t>
        </is>
      </c>
      <c r="R37" s="10" t="inlineStr">
        <is>
          <t>feasible</t>
        </is>
      </c>
    </row>
    <row r="38">
      <c r="B38" s="16" t="inlineStr">
        <is>
          <t>Bengaluru</t>
        </is>
      </c>
      <c r="C38" s="53" t="n">
        <v>0.75</v>
      </c>
      <c r="D38" s="19" t="n">
        <v>155</v>
      </c>
      <c r="E38" s="16" t="n">
        <v>9</v>
      </c>
      <c r="F38" s="21" t="n">
        <v>0.9742</v>
      </c>
      <c r="G38" s="16" t="n">
        <v>0</v>
      </c>
      <c r="H38" s="16" t="n">
        <v>15</v>
      </c>
      <c r="I38" s="16" t="n">
        <v>1</v>
      </c>
      <c r="J38" s="16" t="n">
        <v>9</v>
      </c>
      <c r="K38" s="16" t="n">
        <v>5</v>
      </c>
      <c r="L38" s="21" t="n">
        <v>0.9806</v>
      </c>
      <c r="M38" s="31" t="n">
        <v>339.89</v>
      </c>
      <c r="N38" s="18" t="n">
        <v>67.90000000000001</v>
      </c>
      <c r="O38" s="32" t="n">
        <v>12159388</v>
      </c>
      <c r="P38" s="32" t="n">
        <v>12988551</v>
      </c>
      <c r="Q38" s="16" t="inlineStr">
        <is>
          <t>Yes</t>
        </is>
      </c>
      <c r="R38" s="16" t="inlineStr">
        <is>
          <t>feasible</t>
        </is>
      </c>
    </row>
    <row r="39">
      <c r="B39" s="10" t="inlineStr">
        <is>
          <t>Chennai</t>
        </is>
      </c>
      <c r="C39" s="52" t="n">
        <v>0.75</v>
      </c>
      <c r="D39" s="13" t="n">
        <v>154</v>
      </c>
      <c r="E39" s="10" t="n">
        <v>9</v>
      </c>
      <c r="F39" s="15" t="n">
        <v>1</v>
      </c>
      <c r="G39" s="10" t="n">
        <v>0</v>
      </c>
      <c r="H39" s="10" t="n">
        <v>13</v>
      </c>
      <c r="I39" s="10" t="n">
        <v>1</v>
      </c>
      <c r="J39" s="10" t="n">
        <v>8</v>
      </c>
      <c r="K39" s="10" t="n">
        <v>4</v>
      </c>
      <c r="L39" s="15" t="n">
        <v>0.9935</v>
      </c>
      <c r="M39" s="29" t="n">
        <v>316.38</v>
      </c>
      <c r="N39" s="12" t="n">
        <v>69.7</v>
      </c>
      <c r="O39" s="30" t="n">
        <v>11268223</v>
      </c>
      <c r="P39" s="30" t="n">
        <v>11873019</v>
      </c>
      <c r="Q39" s="10" t="inlineStr">
        <is>
          <t>Yes</t>
        </is>
      </c>
      <c r="R39" s="10" t="inlineStr">
        <is>
          <t>feasible</t>
        </is>
      </c>
    </row>
    <row r="40">
      <c r="B40" s="16" t="inlineStr">
        <is>
          <t>Kolkata</t>
        </is>
      </c>
      <c r="C40" s="53" t="n">
        <v>0.75</v>
      </c>
      <c r="D40" s="19" t="n">
        <v>111</v>
      </c>
      <c r="E40" s="16" t="n">
        <v>9</v>
      </c>
      <c r="F40" s="21" t="n">
        <v>1</v>
      </c>
      <c r="G40" s="16" t="n">
        <v>0</v>
      </c>
      <c r="H40" s="16" t="n">
        <v>11</v>
      </c>
      <c r="I40" s="16" t="n">
        <v>1</v>
      </c>
      <c r="J40" s="16" t="n">
        <v>6</v>
      </c>
      <c r="K40" s="16" t="n">
        <v>4</v>
      </c>
      <c r="L40" s="21" t="n">
        <v>0.991</v>
      </c>
      <c r="M40" s="31" t="n">
        <v>300.07</v>
      </c>
      <c r="N40" s="18" t="n">
        <v>64.5</v>
      </c>
      <c r="O40" s="32" t="n">
        <v>7431014</v>
      </c>
      <c r="P40" s="32" t="n">
        <v>8089203</v>
      </c>
      <c r="Q40" s="16" t="inlineStr">
        <is>
          <t>Yes</t>
        </is>
      </c>
      <c r="R40" s="16" t="inlineStr">
        <is>
          <t>feasible</t>
        </is>
      </c>
    </row>
    <row r="41">
      <c r="B41" s="10" t="inlineStr">
        <is>
          <t>All cities</t>
        </is>
      </c>
      <c r="C41" s="52" t="n">
        <v>1</v>
      </c>
      <c r="D41" s="13" t="n">
        <v>1109</v>
      </c>
      <c r="E41" s="10" t="n">
        <v>53</v>
      </c>
      <c r="F41" s="15" t="n">
        <v>0.9802</v>
      </c>
      <c r="G41" s="10" t="n">
        <v>10</v>
      </c>
      <c r="H41" s="10" t="n">
        <v>87</v>
      </c>
      <c r="I41" s="10" t="n">
        <v>12</v>
      </c>
      <c r="J41" s="10" t="n">
        <v>50</v>
      </c>
      <c r="K41" s="10" t="n">
        <v>25</v>
      </c>
      <c r="L41" s="15" t="n">
        <v>0.9892</v>
      </c>
      <c r="M41" s="29" t="n">
        <v>313.14</v>
      </c>
      <c r="N41" s="12" t="n">
        <v>73</v>
      </c>
      <c r="O41" s="30" t="n">
        <v>80424751</v>
      </c>
      <c r="P41" s="30" t="n">
        <v>85308317</v>
      </c>
      <c r="Q41" s="10" t="inlineStr">
        <is>
          <t>Yes</t>
        </is>
      </c>
      <c r="R41" s="10" t="inlineStr">
        <is>
          <t>feasible</t>
        </is>
      </c>
    </row>
    <row r="42">
      <c r="B42" s="16" t="inlineStr">
        <is>
          <t>Mumbai MMR</t>
        </is>
      </c>
      <c r="C42" s="53" t="n">
        <v>1</v>
      </c>
      <c r="D42" s="19" t="n">
        <v>283</v>
      </c>
      <c r="E42" s="16" t="n">
        <v>53</v>
      </c>
      <c r="F42" s="21" t="n">
        <v>1</v>
      </c>
      <c r="G42" s="16" t="n">
        <v>0</v>
      </c>
      <c r="H42" s="16" t="n">
        <v>20</v>
      </c>
      <c r="I42" s="16" t="n">
        <v>5</v>
      </c>
      <c r="J42" s="16" t="n">
        <v>9</v>
      </c>
      <c r="K42" s="16" t="n">
        <v>6</v>
      </c>
      <c r="L42" s="21" t="n">
        <v>0.9823</v>
      </c>
      <c r="M42" s="31" t="n">
        <v>287.46</v>
      </c>
      <c r="N42" s="18" t="n">
        <v>75.5</v>
      </c>
      <c r="O42" s="32" t="n">
        <v>19542287</v>
      </c>
      <c r="P42" s="32" t="n">
        <v>20744377</v>
      </c>
      <c r="Q42" s="16" t="inlineStr">
        <is>
          <t>Yes</t>
        </is>
      </c>
      <c r="R42" s="16" t="inlineStr">
        <is>
          <t>feasible</t>
        </is>
      </c>
    </row>
    <row r="43">
      <c r="B43" s="10" t="inlineStr">
        <is>
          <t>Delhi NCR</t>
        </is>
      </c>
      <c r="C43" s="52" t="n">
        <v>1</v>
      </c>
      <c r="D43" s="13" t="n">
        <v>266</v>
      </c>
      <c r="E43" s="10" t="n">
        <v>53</v>
      </c>
      <c r="F43" s="15" t="n">
        <v>0.9474</v>
      </c>
      <c r="G43" s="10" t="n">
        <v>10</v>
      </c>
      <c r="H43" s="10" t="n">
        <v>21</v>
      </c>
      <c r="I43" s="10" t="n">
        <v>2</v>
      </c>
      <c r="J43" s="10" t="n">
        <v>14</v>
      </c>
      <c r="K43" s="10" t="n">
        <v>5</v>
      </c>
      <c r="L43" s="15" t="n">
        <v>0.985</v>
      </c>
      <c r="M43" s="29" t="n">
        <v>362.23</v>
      </c>
      <c r="N43" s="12" t="n">
        <v>73</v>
      </c>
      <c r="O43" s="30" t="n">
        <v>20346924</v>
      </c>
      <c r="P43" s="30" t="n">
        <v>21459531</v>
      </c>
      <c r="Q43" s="10" t="inlineStr">
        <is>
          <t>Yes</t>
        </is>
      </c>
      <c r="R43" s="10" t="inlineStr">
        <is>
          <t>feasible</t>
        </is>
      </c>
    </row>
    <row r="44">
      <c r="B44" s="16" t="inlineStr">
        <is>
          <t>Bengaluru</t>
        </is>
      </c>
      <c r="C44" s="53" t="n">
        <v>1</v>
      </c>
      <c r="D44" s="19" t="n">
        <v>214</v>
      </c>
      <c r="E44" s="16" t="n">
        <v>53</v>
      </c>
      <c r="F44" s="21" t="n">
        <v>0.986</v>
      </c>
      <c r="G44" s="16" t="n">
        <v>0</v>
      </c>
      <c r="H44" s="16" t="n">
        <v>18</v>
      </c>
      <c r="I44" s="16" t="n">
        <v>2</v>
      </c>
      <c r="J44" s="16" t="n">
        <v>10</v>
      </c>
      <c r="K44" s="16" t="n">
        <v>6</v>
      </c>
      <c r="L44" s="21" t="n">
        <v>1</v>
      </c>
      <c r="M44" s="31" t="n">
        <v>308.13</v>
      </c>
      <c r="N44" s="18" t="n">
        <v>71.90000000000001</v>
      </c>
      <c r="O44" s="32" t="n">
        <v>15457807</v>
      </c>
      <c r="P44" s="32" t="n">
        <v>16472836</v>
      </c>
      <c r="Q44" s="16" t="inlineStr">
        <is>
          <t>Yes</t>
        </is>
      </c>
      <c r="R44" s="16" t="inlineStr">
        <is>
          <t>feasible</t>
        </is>
      </c>
    </row>
    <row r="45">
      <c r="B45" s="10" t="inlineStr">
        <is>
          <t>Chennai</t>
        </is>
      </c>
      <c r="C45" s="52" t="n">
        <v>1</v>
      </c>
      <c r="D45" s="13" t="n">
        <v>201</v>
      </c>
      <c r="E45" s="10" t="n">
        <v>53</v>
      </c>
      <c r="F45" s="15" t="n">
        <v>0.9801</v>
      </c>
      <c r="G45" s="10" t="n">
        <v>0</v>
      </c>
      <c r="H45" s="10" t="n">
        <v>16</v>
      </c>
      <c r="I45" s="10" t="n">
        <v>2</v>
      </c>
      <c r="J45" s="10" t="n">
        <v>9</v>
      </c>
      <c r="K45" s="10" t="n">
        <v>5</v>
      </c>
      <c r="L45" s="15" t="n">
        <v>1</v>
      </c>
      <c r="M45" s="29" t="n">
        <v>307.92</v>
      </c>
      <c r="N45" s="12" t="n">
        <v>72.8</v>
      </c>
      <c r="O45" s="30" t="n">
        <v>14505952</v>
      </c>
      <c r="P45" s="30" t="n">
        <v>15260453</v>
      </c>
      <c r="Q45" s="10" t="inlineStr">
        <is>
          <t>Yes</t>
        </is>
      </c>
      <c r="R45" s="10" t="inlineStr">
        <is>
          <t>feasible</t>
        </is>
      </c>
    </row>
    <row r="46">
      <c r="B46" s="16" t="inlineStr">
        <is>
          <t>Kolkata</t>
        </is>
      </c>
      <c r="C46" s="53" t="n">
        <v>1</v>
      </c>
      <c r="D46" s="19" t="n">
        <v>145</v>
      </c>
      <c r="E46" s="16" t="n">
        <v>53</v>
      </c>
      <c r="F46" s="21" t="n">
        <v>0.9931</v>
      </c>
      <c r="G46" s="16" t="n">
        <v>0</v>
      </c>
      <c r="H46" s="16" t="n">
        <v>12</v>
      </c>
      <c r="I46" s="16" t="n">
        <v>1</v>
      </c>
      <c r="J46" s="16" t="n">
        <v>8</v>
      </c>
      <c r="K46" s="16" t="n">
        <v>3</v>
      </c>
      <c r="L46" s="21" t="n">
        <v>0.9792999999999999</v>
      </c>
      <c r="M46" s="31" t="n">
        <v>287.86</v>
      </c>
      <c r="N46" s="18" t="n">
        <v>71.09999999999999</v>
      </c>
      <c r="O46" s="32" t="n">
        <v>9404529</v>
      </c>
      <c r="P46" s="32" t="n">
        <v>10203868</v>
      </c>
      <c r="Q46" s="16" t="inlineStr">
        <is>
          <t>Yes</t>
        </is>
      </c>
      <c r="R46" s="16" t="inlineStr">
        <is>
          <t>feasible</t>
        </is>
      </c>
    </row>
    <row r="47">
      <c r="B47" s="10" t="inlineStr">
        <is>
          <t>All cities</t>
        </is>
      </c>
      <c r="C47" s="52" t="n">
        <v>1.5</v>
      </c>
      <c r="D47" s="13" t="n">
        <v>1664</v>
      </c>
      <c r="E47" s="10" t="n">
        <v>15</v>
      </c>
      <c r="F47" s="15" t="n">
        <v>0.9231</v>
      </c>
      <c r="G47" s="10" t="n">
        <v>83</v>
      </c>
      <c r="H47" s="10" t="n">
        <v>126</v>
      </c>
      <c r="I47" s="10" t="n">
        <v>16</v>
      </c>
      <c r="J47" s="10" t="n">
        <v>73</v>
      </c>
      <c r="K47" s="10" t="n">
        <v>37</v>
      </c>
      <c r="L47" s="15" t="n">
        <v>0.9766</v>
      </c>
      <c r="M47" s="29" t="n">
        <v>302.07</v>
      </c>
      <c r="N47" s="12" t="n">
        <v>72.40000000000001</v>
      </c>
      <c r="O47" s="30" t="n">
        <v>114115670</v>
      </c>
      <c r="P47" s="30" t="n">
        <v>121195117</v>
      </c>
      <c r="Q47" s="10" t="inlineStr">
        <is>
          <t>Yes</t>
        </is>
      </c>
      <c r="R47" s="10" t="inlineStr">
        <is>
          <t>feasible</t>
        </is>
      </c>
    </row>
    <row r="48">
      <c r="B48" s="16" t="inlineStr">
        <is>
          <t>Mumbai MMR</t>
        </is>
      </c>
      <c r="C48" s="53" t="n">
        <v>1.5</v>
      </c>
      <c r="D48" s="19" t="n">
        <v>432</v>
      </c>
      <c r="E48" s="16" t="n">
        <v>15</v>
      </c>
      <c r="F48" s="21" t="n">
        <v>0.9421</v>
      </c>
      <c r="G48" s="16" t="n">
        <v>17</v>
      </c>
      <c r="H48" s="16" t="n">
        <v>29</v>
      </c>
      <c r="I48" s="16" t="n">
        <v>5</v>
      </c>
      <c r="J48" s="16" t="n">
        <v>16</v>
      </c>
      <c r="K48" s="16" t="n">
        <v>8</v>
      </c>
      <c r="L48" s="21" t="n">
        <v>0.9699</v>
      </c>
      <c r="M48" s="31" t="n">
        <v>274.96</v>
      </c>
      <c r="N48" s="18" t="n">
        <v>75.5</v>
      </c>
      <c r="O48" s="32" t="n">
        <v>27603981</v>
      </c>
      <c r="P48" s="32" t="n">
        <v>29347085</v>
      </c>
      <c r="Q48" s="16" t="inlineStr">
        <is>
          <t>Yes</t>
        </is>
      </c>
      <c r="R48" s="16" t="inlineStr">
        <is>
          <t>feasible</t>
        </is>
      </c>
    </row>
    <row r="49">
      <c r="B49" s="10" t="inlineStr">
        <is>
          <t>Delhi NCR</t>
        </is>
      </c>
      <c r="C49" s="52" t="n">
        <v>1.5</v>
      </c>
      <c r="D49" s="13" t="n">
        <v>400</v>
      </c>
      <c r="E49" s="10" t="n">
        <v>15</v>
      </c>
      <c r="F49" s="15" t="n">
        <v>0.8025</v>
      </c>
      <c r="G49" s="10" t="n">
        <v>66</v>
      </c>
      <c r="H49" s="10" t="n">
        <v>32</v>
      </c>
      <c r="I49" s="10" t="n">
        <v>3</v>
      </c>
      <c r="J49" s="10" t="n">
        <v>20</v>
      </c>
      <c r="K49" s="10" t="n">
        <v>9</v>
      </c>
      <c r="L49" s="15" t="n">
        <v>0.955</v>
      </c>
      <c r="M49" s="29" t="n">
        <v>367.67</v>
      </c>
      <c r="N49" s="12" t="n">
        <v>73.5</v>
      </c>
      <c r="O49" s="30" t="n">
        <v>30000756</v>
      </c>
      <c r="P49" s="30" t="n">
        <v>31571030</v>
      </c>
      <c r="Q49" s="10" t="inlineStr">
        <is>
          <t>Yes</t>
        </is>
      </c>
      <c r="R49" s="10" t="inlineStr">
        <is>
          <t>feasible</t>
        </is>
      </c>
    </row>
    <row r="50">
      <c r="B50" s="16" t="inlineStr">
        <is>
          <t>Bengaluru</t>
        </is>
      </c>
      <c r="C50" s="53" t="n">
        <v>1.5</v>
      </c>
      <c r="D50" s="19" t="n">
        <v>320</v>
      </c>
      <c r="E50" s="16" t="n">
        <v>15</v>
      </c>
      <c r="F50" s="21" t="n">
        <v>0.9375</v>
      </c>
      <c r="G50" s="16" t="n">
        <v>0</v>
      </c>
      <c r="H50" s="16" t="n">
        <v>26</v>
      </c>
      <c r="I50" s="16" t="n">
        <v>2</v>
      </c>
      <c r="J50" s="16" t="n">
        <v>16</v>
      </c>
      <c r="K50" s="16" t="n">
        <v>8</v>
      </c>
      <c r="L50" s="21" t="n">
        <v>0.9875</v>
      </c>
      <c r="M50" s="31" t="n">
        <v>294.22</v>
      </c>
      <c r="N50" s="18" t="n">
        <v>70.2</v>
      </c>
      <c r="O50" s="32" t="n">
        <v>21823412</v>
      </c>
      <c r="P50" s="32" t="n">
        <v>23352354</v>
      </c>
      <c r="Q50" s="16" t="inlineStr">
        <is>
          <t>Yes</t>
        </is>
      </c>
      <c r="R50" s="16" t="inlineStr">
        <is>
          <t>feasible</t>
        </is>
      </c>
    </row>
    <row r="51">
      <c r="B51" s="10" t="inlineStr">
        <is>
          <t>Chennai</t>
        </is>
      </c>
      <c r="C51" s="52" t="n">
        <v>1.5</v>
      </c>
      <c r="D51" s="13" t="n">
        <v>299</v>
      </c>
      <c r="E51" s="10" t="n">
        <v>15</v>
      </c>
      <c r="F51" s="15" t="n">
        <v>0.99</v>
      </c>
      <c r="G51" s="10" t="n">
        <v>0</v>
      </c>
      <c r="H51" s="10" t="n">
        <v>23</v>
      </c>
      <c r="I51" s="10" t="n">
        <v>3</v>
      </c>
      <c r="J51" s="10" t="n">
        <v>13</v>
      </c>
      <c r="K51" s="10" t="n">
        <v>7</v>
      </c>
      <c r="L51" s="15" t="n">
        <v>0.99</v>
      </c>
      <c r="M51" s="29" t="n">
        <v>295.06</v>
      </c>
      <c r="N51" s="12" t="n">
        <v>73.3</v>
      </c>
      <c r="O51" s="30" t="n">
        <v>20654269</v>
      </c>
      <c r="P51" s="30" t="n">
        <v>21840548</v>
      </c>
      <c r="Q51" s="10" t="inlineStr">
        <is>
          <t>Yes</t>
        </is>
      </c>
      <c r="R51" s="10" t="inlineStr">
        <is>
          <t>feasible</t>
        </is>
      </c>
    </row>
    <row r="52">
      <c r="B52" s="16" t="inlineStr">
        <is>
          <t>Kolkata</t>
        </is>
      </c>
      <c r="C52" s="53" t="n">
        <v>1.5</v>
      </c>
      <c r="D52" s="19" t="n">
        <v>213</v>
      </c>
      <c r="E52" s="16" t="n">
        <v>15</v>
      </c>
      <c r="F52" s="21" t="n">
        <v>0.9953</v>
      </c>
      <c r="G52" s="16" t="n">
        <v>0</v>
      </c>
      <c r="H52" s="16" t="n">
        <v>16</v>
      </c>
      <c r="I52" s="16" t="n">
        <v>3</v>
      </c>
      <c r="J52" s="16" t="n">
        <v>8</v>
      </c>
      <c r="K52" s="16" t="n">
        <v>5</v>
      </c>
      <c r="L52" s="21" t="n">
        <v>0.9953</v>
      </c>
      <c r="M52" s="31" t="n">
        <v>255.49</v>
      </c>
      <c r="N52" s="18" t="n">
        <v>67.09999999999999</v>
      </c>
      <c r="O52" s="32" t="n">
        <v>12479418</v>
      </c>
      <c r="P52" s="32" t="n">
        <v>13530268</v>
      </c>
      <c r="Q52" s="16" t="inlineStr">
        <is>
          <t>Yes</t>
        </is>
      </c>
      <c r="R52" s="16" t="inlineStr">
        <is>
          <t>feasible</t>
        </is>
      </c>
    </row>
    <row r="53">
      <c r="B53" s="10" t="inlineStr">
        <is>
          <t>All cities</t>
        </is>
      </c>
      <c r="C53" s="52" t="n">
        <v>2</v>
      </c>
      <c r="D53" s="13" t="n">
        <v>2218</v>
      </c>
      <c r="E53" s="10" t="n">
        <v>2</v>
      </c>
      <c r="F53" s="15" t="n">
        <v>0.8611</v>
      </c>
      <c r="G53" s="10" t="n">
        <v>264</v>
      </c>
      <c r="H53" s="10" t="n">
        <v>170</v>
      </c>
      <c r="I53" s="10" t="n">
        <v>18</v>
      </c>
      <c r="J53" s="10" t="n">
        <v>113</v>
      </c>
      <c r="K53" s="10" t="n">
        <v>39</v>
      </c>
      <c r="L53" s="15" t="n">
        <v>0.9815</v>
      </c>
      <c r="M53" s="29" t="n">
        <v>302.64</v>
      </c>
      <c r="N53" s="12" t="n">
        <v>67.59999999999999</v>
      </c>
      <c r="O53" s="30" t="n">
        <v>151417483</v>
      </c>
      <c r="P53" s="30" t="n">
        <v>162082094</v>
      </c>
      <c r="Q53" s="10" t="inlineStr">
        <is>
          <t>Yes</t>
        </is>
      </c>
      <c r="R53" s="10" t="inlineStr">
        <is>
          <t>feasible</t>
        </is>
      </c>
    </row>
    <row r="54">
      <c r="B54" s="16" t="inlineStr">
        <is>
          <t>Mumbai MMR</t>
        </is>
      </c>
      <c r="C54" s="53" t="n">
        <v>2</v>
      </c>
      <c r="D54" s="19" t="n">
        <v>555</v>
      </c>
      <c r="E54" s="16" t="n">
        <v>2</v>
      </c>
      <c r="F54" s="21" t="n">
        <v>0.8288</v>
      </c>
      <c r="G54" s="16" t="n">
        <v>77</v>
      </c>
      <c r="H54" s="16" t="n">
        <v>40</v>
      </c>
      <c r="I54" s="16" t="n">
        <v>5</v>
      </c>
      <c r="J54" s="16" t="n">
        <v>28</v>
      </c>
      <c r="K54" s="16" t="n">
        <v>7</v>
      </c>
      <c r="L54" s="21" t="n">
        <v>0.982</v>
      </c>
      <c r="M54" s="31" t="n">
        <v>286.83</v>
      </c>
      <c r="N54" s="18" t="n">
        <v>67.3</v>
      </c>
      <c r="O54" s="32" t="n">
        <v>36671131</v>
      </c>
      <c r="P54" s="32" t="n">
        <v>39443381</v>
      </c>
      <c r="Q54" s="16" t="inlineStr">
        <is>
          <t>Yes</t>
        </is>
      </c>
      <c r="R54" s="16" t="inlineStr">
        <is>
          <t>feasible</t>
        </is>
      </c>
    </row>
    <row r="55">
      <c r="B55" s="10" t="inlineStr">
        <is>
          <t>Delhi NCR</t>
        </is>
      </c>
      <c r="C55" s="52" t="n">
        <v>2</v>
      </c>
      <c r="D55" s="13" t="n">
        <v>545</v>
      </c>
      <c r="E55" s="10" t="n">
        <v>2</v>
      </c>
      <c r="F55" s="15" t="n">
        <v>0.6862</v>
      </c>
      <c r="G55" s="10" t="n">
        <v>156</v>
      </c>
      <c r="H55" s="10" t="n">
        <v>41</v>
      </c>
      <c r="I55" s="10" t="n">
        <v>5</v>
      </c>
      <c r="J55" s="10" t="n">
        <v>30</v>
      </c>
      <c r="K55" s="10" t="n">
        <v>6</v>
      </c>
      <c r="L55" s="15" t="n">
        <v>0.9633</v>
      </c>
      <c r="M55" s="29" t="n">
        <v>363.95</v>
      </c>
      <c r="N55" s="12" t="n">
        <v>72</v>
      </c>
      <c r="O55" s="30" t="n">
        <v>42369486</v>
      </c>
      <c r="P55" s="30" t="n">
        <v>44820654</v>
      </c>
      <c r="Q55" s="10" t="inlineStr">
        <is>
          <t>Yes</t>
        </is>
      </c>
      <c r="R55" s="10" t="inlineStr">
        <is>
          <t>feasible</t>
        </is>
      </c>
    </row>
    <row r="56">
      <c r="B56" s="16" t="inlineStr">
        <is>
          <t>Bengaluru</t>
        </is>
      </c>
      <c r="C56" s="53" t="n">
        <v>2</v>
      </c>
      <c r="D56" s="19" t="n">
        <v>440</v>
      </c>
      <c r="E56" s="16" t="n">
        <v>2</v>
      </c>
      <c r="F56" s="21" t="n">
        <v>0.9295</v>
      </c>
      <c r="G56" s="16" t="n">
        <v>26</v>
      </c>
      <c r="H56" s="16" t="n">
        <v>35</v>
      </c>
      <c r="I56" s="16" t="n">
        <v>2</v>
      </c>
      <c r="J56" s="16" t="n">
        <v>21</v>
      </c>
      <c r="K56" s="16" t="n">
        <v>12</v>
      </c>
      <c r="L56" s="21" t="n">
        <v>0.9818</v>
      </c>
      <c r="M56" s="31" t="n">
        <v>277.85</v>
      </c>
      <c r="N56" s="18" t="n">
        <v>66.5</v>
      </c>
      <c r="O56" s="32" t="n">
        <v>26890371</v>
      </c>
      <c r="P56" s="32" t="n">
        <v>28936155</v>
      </c>
      <c r="Q56" s="16" t="inlineStr">
        <is>
          <t>Yes</t>
        </is>
      </c>
      <c r="R56" s="16" t="inlineStr">
        <is>
          <t>feasible</t>
        </is>
      </c>
    </row>
    <row r="57">
      <c r="B57" s="10" t="inlineStr">
        <is>
          <t>Chennai</t>
        </is>
      </c>
      <c r="C57" s="52" t="n">
        <v>2</v>
      </c>
      <c r="D57" s="13" t="n">
        <v>381</v>
      </c>
      <c r="E57" s="10" t="n">
        <v>2</v>
      </c>
      <c r="F57" s="15" t="n">
        <v>0.979</v>
      </c>
      <c r="G57" s="10" t="n">
        <v>5</v>
      </c>
      <c r="H57" s="10" t="n">
        <v>31</v>
      </c>
      <c r="I57" s="10" t="n">
        <v>5</v>
      </c>
      <c r="J57" s="10" t="n">
        <v>17</v>
      </c>
      <c r="K57" s="10" t="n">
        <v>9</v>
      </c>
      <c r="L57" s="15" t="n">
        <v>0.9948</v>
      </c>
      <c r="M57" s="29" t="n">
        <v>301.04</v>
      </c>
      <c r="N57" s="12" t="n">
        <v>65.2</v>
      </c>
      <c r="O57" s="30" t="n">
        <v>26548643</v>
      </c>
      <c r="P57" s="30" t="n">
        <v>28311445</v>
      </c>
      <c r="Q57" s="10" t="inlineStr">
        <is>
          <t>Yes</t>
        </is>
      </c>
      <c r="R57" s="10" t="inlineStr">
        <is>
          <t>feasible</t>
        </is>
      </c>
    </row>
    <row r="58">
      <c r="B58" s="16" t="inlineStr">
        <is>
          <t>Kolkata</t>
        </is>
      </c>
      <c r="C58" s="53" t="n">
        <v>2</v>
      </c>
      <c r="D58" s="19" t="n">
        <v>297</v>
      </c>
      <c r="E58" s="16" t="n">
        <v>2</v>
      </c>
      <c r="F58" s="21" t="n">
        <v>0.9899</v>
      </c>
      <c r="G58" s="16" t="n">
        <v>0</v>
      </c>
      <c r="H58" s="16" t="n">
        <v>23</v>
      </c>
      <c r="I58" s="16" t="n">
        <v>1</v>
      </c>
      <c r="J58" s="16" t="n">
        <v>17</v>
      </c>
      <c r="K58" s="16" t="n">
        <v>5</v>
      </c>
      <c r="L58" s="21" t="n">
        <v>0.9966</v>
      </c>
      <c r="M58" s="31" t="n">
        <v>258.47</v>
      </c>
      <c r="N58" s="18" t="n">
        <v>65.5</v>
      </c>
      <c r="O58" s="32" t="n">
        <v>16870479</v>
      </c>
      <c r="P58" s="32" t="n">
        <v>18503088</v>
      </c>
      <c r="Q58" s="16" t="inlineStr">
        <is>
          <t>Yes</t>
        </is>
      </c>
      <c r="R58" s="16" t="inlineStr">
        <is>
          <t>feasible</t>
        </is>
      </c>
    </row>
    <row r="59">
      <c r="B59" s="10" t="inlineStr">
        <is>
          <t>All cities</t>
        </is>
      </c>
      <c r="C59" s="52" t="n">
        <v>3</v>
      </c>
      <c r="D59" s="13" t="n">
        <v>3327</v>
      </c>
      <c r="E59" s="10" t="n">
        <v>0</v>
      </c>
      <c r="F59" s="15" t="n">
        <v>0.6793</v>
      </c>
      <c r="G59" s="10" t="n">
        <v>1021</v>
      </c>
      <c r="H59" s="10" t="n">
        <v>277</v>
      </c>
      <c r="I59" s="10" t="n">
        <v>17</v>
      </c>
      <c r="J59" s="10" t="n">
        <v>187</v>
      </c>
      <c r="K59" s="10" t="n">
        <v>73</v>
      </c>
      <c r="L59" s="15" t="n">
        <v>0.9702</v>
      </c>
      <c r="M59" s="29" t="n">
        <v>342.32</v>
      </c>
      <c r="N59" s="12" t="n">
        <v>64.2</v>
      </c>
      <c r="O59" s="30" t="n">
        <v>225508342</v>
      </c>
      <c r="P59" s="30" t="n">
        <v>242455142</v>
      </c>
      <c r="Q59" s="10" t="inlineStr">
        <is>
          <t>Yes</t>
        </is>
      </c>
      <c r="R59" s="10" t="inlineStr">
        <is>
          <t>feasible</t>
        </is>
      </c>
    </row>
    <row r="60">
      <c r="B60" s="16" t="inlineStr">
        <is>
          <t>Mumbai MMR</t>
        </is>
      </c>
      <c r="C60" s="53" t="n">
        <v>3</v>
      </c>
      <c r="D60" s="19" t="n">
        <v>839</v>
      </c>
      <c r="E60" s="16" t="n">
        <v>0</v>
      </c>
      <c r="F60" s="21" t="n">
        <v>0.6198</v>
      </c>
      <c r="G60" s="16" t="n">
        <v>308</v>
      </c>
      <c r="H60" s="16" t="n">
        <v>66</v>
      </c>
      <c r="I60" s="16" t="n">
        <v>6</v>
      </c>
      <c r="J60" s="16" t="n">
        <v>44</v>
      </c>
      <c r="K60" s="16" t="n">
        <v>16</v>
      </c>
      <c r="L60" s="21" t="n">
        <v>0.9452</v>
      </c>
      <c r="M60" s="31" t="n">
        <v>423.75</v>
      </c>
      <c r="N60" s="18" t="n">
        <v>63.4</v>
      </c>
      <c r="O60" s="32" t="n">
        <v>53611354</v>
      </c>
      <c r="P60" s="32" t="n">
        <v>58052797</v>
      </c>
      <c r="Q60" s="16" t="inlineStr">
        <is>
          <t>No</t>
        </is>
      </c>
      <c r="R60" s="16" t="inlineStr">
        <is>
          <t>infeasible: compliance 94.5% &lt;= 95% with candidate pool</t>
        </is>
      </c>
    </row>
    <row r="61">
      <c r="B61" s="10" t="inlineStr">
        <is>
          <t>Delhi NCR</t>
        </is>
      </c>
      <c r="C61" s="52" t="n">
        <v>3</v>
      </c>
      <c r="D61" s="13" t="n">
        <v>838</v>
      </c>
      <c r="E61" s="10" t="n">
        <v>0</v>
      </c>
      <c r="F61" s="15" t="n">
        <v>0.4523</v>
      </c>
      <c r="G61" s="10" t="n">
        <v>445</v>
      </c>
      <c r="H61" s="10" t="n">
        <v>70</v>
      </c>
      <c r="I61" s="10" t="n">
        <v>7</v>
      </c>
      <c r="J61" s="10" t="n">
        <v>49</v>
      </c>
      <c r="K61" s="10" t="n">
        <v>14</v>
      </c>
      <c r="L61" s="15" t="n">
        <v>0.9618</v>
      </c>
      <c r="M61" s="29" t="n">
        <v>389.18</v>
      </c>
      <c r="N61" s="12" t="n">
        <v>73.09999999999999</v>
      </c>
      <c r="O61" s="30" t="n">
        <v>68786927</v>
      </c>
      <c r="P61" s="30" t="n">
        <v>72855015</v>
      </c>
      <c r="Q61" s="10" t="inlineStr">
        <is>
          <t>Yes</t>
        </is>
      </c>
      <c r="R61" s="10" t="inlineStr">
        <is>
          <t>feasible</t>
        </is>
      </c>
    </row>
    <row r="62">
      <c r="B62" s="16" t="inlineStr">
        <is>
          <t>Bengaluru</t>
        </is>
      </c>
      <c r="C62" s="53" t="n">
        <v>3</v>
      </c>
      <c r="D62" s="19" t="n">
        <v>636</v>
      </c>
      <c r="E62" s="16" t="n">
        <v>0</v>
      </c>
      <c r="F62" s="21" t="n">
        <v>0.7406</v>
      </c>
      <c r="G62" s="16" t="n">
        <v>157</v>
      </c>
      <c r="H62" s="16" t="n">
        <v>51</v>
      </c>
      <c r="I62" s="16" t="n">
        <v>3</v>
      </c>
      <c r="J62" s="16" t="n">
        <v>34</v>
      </c>
      <c r="K62" s="16" t="n">
        <v>14</v>
      </c>
      <c r="L62" s="21" t="n">
        <v>0.9906</v>
      </c>
      <c r="M62" s="31" t="n">
        <v>293.95</v>
      </c>
      <c r="N62" s="18" t="n">
        <v>67.3</v>
      </c>
      <c r="O62" s="32" t="n">
        <v>41675055</v>
      </c>
      <c r="P62" s="32" t="n">
        <v>44903512</v>
      </c>
      <c r="Q62" s="16" t="inlineStr">
        <is>
          <t>Yes</t>
        </is>
      </c>
      <c r="R62" s="16" t="inlineStr">
        <is>
          <t>feasible</t>
        </is>
      </c>
    </row>
    <row r="63">
      <c r="B63" s="10" t="inlineStr">
        <is>
          <t>Chennai</t>
        </is>
      </c>
      <c r="C63" s="52" t="n">
        <v>3</v>
      </c>
      <c r="D63" s="13" t="n">
        <v>533</v>
      </c>
      <c r="E63" s="10" t="n">
        <v>0</v>
      </c>
      <c r="F63" s="15" t="n">
        <v>0.848</v>
      </c>
      <c r="G63" s="10" t="n">
        <v>69</v>
      </c>
      <c r="H63" s="10" t="n">
        <v>48</v>
      </c>
      <c r="I63" s="10" t="n">
        <v>0</v>
      </c>
      <c r="J63" s="10" t="n">
        <v>33</v>
      </c>
      <c r="K63" s="10" t="n">
        <v>15</v>
      </c>
      <c r="L63" s="15" t="n">
        <v>0.9812</v>
      </c>
      <c r="M63" s="29" t="n">
        <v>290.31</v>
      </c>
      <c r="N63" s="12" t="n">
        <v>59</v>
      </c>
      <c r="O63" s="30" t="n">
        <v>34127640</v>
      </c>
      <c r="P63" s="30" t="n">
        <v>36639461</v>
      </c>
      <c r="Q63" s="10" t="inlineStr">
        <is>
          <t>Yes</t>
        </is>
      </c>
      <c r="R63" s="10" t="inlineStr">
        <is>
          <t>feasible</t>
        </is>
      </c>
    </row>
    <row r="64">
      <c r="B64" s="16" t="inlineStr">
        <is>
          <t>Kolkata</t>
        </is>
      </c>
      <c r="C64" s="53" t="n">
        <v>3</v>
      </c>
      <c r="D64" s="19" t="n">
        <v>481</v>
      </c>
      <c r="E64" s="16" t="n">
        <v>0</v>
      </c>
      <c r="F64" s="21" t="n">
        <v>0.9106</v>
      </c>
      <c r="G64" s="16" t="n">
        <v>42</v>
      </c>
      <c r="H64" s="16" t="n">
        <v>42</v>
      </c>
      <c r="I64" s="16" t="n">
        <v>1</v>
      </c>
      <c r="J64" s="16" t="n">
        <v>27</v>
      </c>
      <c r="K64" s="16" t="n">
        <v>14</v>
      </c>
      <c r="L64" s="21" t="n">
        <v>0.9896</v>
      </c>
      <c r="M64" s="31" t="n">
        <v>240.22</v>
      </c>
      <c r="N64" s="18" t="n">
        <v>52.8</v>
      </c>
      <c r="O64" s="32" t="n">
        <v>24499601</v>
      </c>
      <c r="P64" s="32" t="n">
        <v>27196589</v>
      </c>
      <c r="Q64" s="16" t="inlineStr">
        <is>
          <t>Yes</t>
        </is>
      </c>
      <c r="R64" s="16" t="inlineStr">
        <is>
          <t>feasible</t>
        </is>
      </c>
    </row>
    <row r="67">
      <c r="B67" s="7" t="inlineStr">
        <is>
          <t>Annual fleet TCO at 1.0x demand (recommended fleet)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B68" s="22" t="inlineStr">
        <is>
          <t>Own = equivalent annual capital cost at WACC + insurance + maintenance + fuel + labour; lease = lease + admin + fuel + labour.</t>
        </is>
      </c>
    </row>
    <row r="69" ht="30" customHeight="1">
      <c r="B69" s="9" t="inlineStr">
        <is>
          <t>City</t>
        </is>
      </c>
      <c r="C69" s="9" t="inlineStr">
        <is>
          <t>Capital (EAC) ₹</t>
        </is>
      </c>
      <c r="D69" s="9" t="inlineStr">
        <is>
          <t>Insurance ₹</t>
        </is>
      </c>
      <c r="E69" s="9" t="inlineStr">
        <is>
          <t>Maintenance ₹</t>
        </is>
      </c>
      <c r="F69" s="9" t="inlineStr">
        <is>
          <t>Fuel ₹</t>
        </is>
      </c>
      <c r="G69" s="9" t="inlineStr">
        <is>
          <t>Labour ₹</t>
        </is>
      </c>
      <c r="H69" s="9" t="inlineStr">
        <is>
          <t>TCO own ₹</t>
        </is>
      </c>
      <c r="I69" s="9" t="inlineStr">
        <is>
          <t>TCO lease ₹</t>
        </is>
      </c>
    </row>
    <row r="70">
      <c r="B70" s="10" t="inlineStr">
        <is>
          <t>Mumbai MMR</t>
        </is>
      </c>
      <c r="C70" s="30" t="n">
        <v>5033448</v>
      </c>
      <c r="D70" s="30" t="n">
        <v>548000</v>
      </c>
      <c r="E70" s="30" t="n">
        <v>807974</v>
      </c>
      <c r="F70" s="30" t="n">
        <v>4083055</v>
      </c>
      <c r="G70" s="30" t="n">
        <v>9069810</v>
      </c>
      <c r="H70" s="30" t="n">
        <v>19542287</v>
      </c>
      <c r="I70" s="30" t="n">
        <v>20744377</v>
      </c>
    </row>
    <row r="71">
      <c r="B71" s="16" t="inlineStr">
        <is>
          <t>Delhi NCR</t>
        </is>
      </c>
      <c r="C71" s="32" t="n">
        <v>4559745</v>
      </c>
      <c r="D71" s="32" t="n">
        <v>519500</v>
      </c>
      <c r="E71" s="32" t="n">
        <v>964588</v>
      </c>
      <c r="F71" s="32" t="n">
        <v>4914623</v>
      </c>
      <c r="G71" s="32" t="n">
        <v>9388469</v>
      </c>
      <c r="H71" s="32" t="n">
        <v>20346924</v>
      </c>
      <c r="I71" s="32" t="n">
        <v>21459531</v>
      </c>
    </row>
    <row r="72">
      <c r="B72" s="10" t="inlineStr">
        <is>
          <t>Bengaluru</t>
        </is>
      </c>
      <c r="C72" s="30" t="n">
        <v>3651286</v>
      </c>
      <c r="D72" s="30" t="n">
        <v>411000</v>
      </c>
      <c r="E72" s="30" t="n">
        <v>598398</v>
      </c>
      <c r="F72" s="30" t="n">
        <v>3037459</v>
      </c>
      <c r="G72" s="30" t="n">
        <v>7759664</v>
      </c>
      <c r="H72" s="30" t="n">
        <v>15457807</v>
      </c>
      <c r="I72" s="30" t="n">
        <v>16472836</v>
      </c>
    </row>
    <row r="73">
      <c r="B73" s="16" t="inlineStr">
        <is>
          <t>Chennai</t>
        </is>
      </c>
      <c r="C73" s="32" t="n">
        <v>3379851</v>
      </c>
      <c r="D73" s="32" t="n">
        <v>379500</v>
      </c>
      <c r="E73" s="32" t="n">
        <v>726788</v>
      </c>
      <c r="F73" s="32" t="n">
        <v>3683410</v>
      </c>
      <c r="G73" s="32" t="n">
        <v>6336402</v>
      </c>
      <c r="H73" s="32" t="n">
        <v>14505952</v>
      </c>
      <c r="I73" s="32" t="n">
        <v>15260453</v>
      </c>
    </row>
    <row r="74">
      <c r="B74" s="10" t="inlineStr">
        <is>
          <t>Kolkata</t>
        </is>
      </c>
      <c r="C74" s="30" t="n">
        <v>2533579</v>
      </c>
      <c r="D74" s="30" t="n">
        <v>289500</v>
      </c>
      <c r="E74" s="30" t="n">
        <v>364917</v>
      </c>
      <c r="F74" s="30" t="n">
        <v>1862204</v>
      </c>
      <c r="G74" s="30" t="n">
        <v>4354329</v>
      </c>
      <c r="H74" s="30" t="n">
        <v>9404529</v>
      </c>
      <c r="I74" s="30" t="n">
        <v>10203868</v>
      </c>
    </row>
  </sheetData>
  <mergeCells count="9">
    <mergeCell ref="B5:D5"/>
    <mergeCell ref="E5:G5"/>
    <mergeCell ref="K4:M4"/>
    <mergeCell ref="H5:J5"/>
    <mergeCell ref="K5:M5"/>
    <mergeCell ref="B4:D4"/>
    <mergeCell ref="H4:J4"/>
    <mergeCell ref="E4:G4"/>
    <mergeCell ref="B1:P1"/>
  </mergeCells>
  <conditionalFormatting sqref="C19:G24">
    <cfRule type="colorScale" priority="1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H29:H64">
    <cfRule type="dataBar" priority="2">
      <dataBar showValue="1">
        <cfvo type="min"/>
        <cfvo type="max"/>
        <color rgb="000E7C86"/>
      </dataBar>
    </cfRule>
  </conditionalFormatting>
  <conditionalFormatting sqref="Q29:Q64">
    <cfRule type="cellIs" priority="3" operator="equal" dxfId="1">
      <formula>"Yes"</formula>
    </cfRule>
    <cfRule type="cellIs" priority="4" operator="equal" dxfId="0">
      <formula>"No"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BB5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</cols>
  <sheetData>
    <row r="1" ht="34" customHeight="1">
      <c r="A1" s="1" t="n"/>
      <c r="B1" s="2" t="inlineStr">
        <is>
          <t>Warehouse Slotting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8" customHeight="1">
      <c r="B2" s="3" t="inlineStr">
        <is>
          <t>10,000-slot DC template per city · velocity zoning + co-pick affinity + ergonomic weight rule</t>
        </is>
      </c>
    </row>
    <row r="4" ht="30" customHeight="1">
      <c r="B4" s="41" t="n">
        <v>0.2618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42" t="n">
        <v>0.2335</v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4" t="n">
        <v>0.2697</v>
      </c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0" t="n">
        <v>3075</v>
      </c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26" customHeight="1">
      <c r="B5" s="6" t="inlineStr">
        <is>
          <t>Picker travel reduction (held-out)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4" t="inlineStr">
        <is>
          <t>Pick throughput gain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35" t="inlineStr">
        <is>
          <t>Perfect-information bound</t>
        </is>
      </c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1" t="inlineStr">
        <is>
          <t>Heavy-item slot violations removed · now 0</t>
        </is>
      </c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</row>
    <row r="7">
      <c r="B7" s="7" t="inlineStr">
        <is>
          <t>Mumbai DC pick intensity - Current layout (category order) (rows: bay, columns: aisle; dispatch at top-left)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</row>
    <row r="8">
      <c r="B8" s="55" t="inlineStr">
        <is>
          <t>Bay \ Aisle</t>
        </is>
      </c>
      <c r="C8" s="56" t="n">
        <v>1</v>
      </c>
      <c r="D8" s="56" t="n">
        <v>2</v>
      </c>
      <c r="E8" s="56" t="n">
        <v>3</v>
      </c>
      <c r="F8" s="56" t="n">
        <v>4</v>
      </c>
      <c r="G8" s="56" t="n">
        <v>5</v>
      </c>
      <c r="H8" s="56" t="n">
        <v>6</v>
      </c>
      <c r="I8" s="56" t="n">
        <v>7</v>
      </c>
      <c r="J8" s="56" t="n">
        <v>8</v>
      </c>
      <c r="K8" s="56" t="n">
        <v>9</v>
      </c>
      <c r="L8" s="56" t="n">
        <v>10</v>
      </c>
      <c r="M8" s="56" t="n">
        <v>11</v>
      </c>
      <c r="N8" s="56" t="n">
        <v>12</v>
      </c>
      <c r="O8" s="56" t="n">
        <v>13</v>
      </c>
      <c r="P8" s="56" t="n">
        <v>14</v>
      </c>
      <c r="Q8" s="56" t="n">
        <v>15</v>
      </c>
      <c r="R8" s="56" t="n">
        <v>16</v>
      </c>
      <c r="S8" s="56" t="n">
        <v>17</v>
      </c>
      <c r="T8" s="56" t="n">
        <v>18</v>
      </c>
      <c r="U8" s="56" t="n">
        <v>19</v>
      </c>
      <c r="V8" s="56" t="n">
        <v>20</v>
      </c>
      <c r="W8" s="56" t="n">
        <v>21</v>
      </c>
      <c r="X8" s="56" t="n">
        <v>22</v>
      </c>
      <c r="Y8" s="56" t="n">
        <v>23</v>
      </c>
      <c r="Z8" s="56" t="n">
        <v>24</v>
      </c>
      <c r="AA8" s="56" t="n">
        <v>25</v>
      </c>
      <c r="AB8" s="56" t="n">
        <v>26</v>
      </c>
      <c r="AC8" s="56" t="n">
        <v>27</v>
      </c>
      <c r="AD8" s="56" t="n">
        <v>28</v>
      </c>
      <c r="AE8" s="56" t="n">
        <v>29</v>
      </c>
      <c r="AF8" s="56" t="n">
        <v>30</v>
      </c>
      <c r="AG8" s="56" t="n">
        <v>31</v>
      </c>
      <c r="AH8" s="56" t="n">
        <v>32</v>
      </c>
      <c r="AI8" s="56" t="n">
        <v>33</v>
      </c>
      <c r="AJ8" s="56" t="n">
        <v>34</v>
      </c>
      <c r="AK8" s="56" t="n">
        <v>35</v>
      </c>
      <c r="AL8" s="56" t="n">
        <v>36</v>
      </c>
    </row>
    <row r="9" ht="11" customHeight="1">
      <c r="B9" s="57" t="n">
        <v>1</v>
      </c>
      <c r="C9" s="58" t="n">
        <v>53.2</v>
      </c>
      <c r="D9" s="58" t="n">
        <v>62.7</v>
      </c>
      <c r="E9" s="58" t="n">
        <v>54.7</v>
      </c>
      <c r="F9" s="58" t="n">
        <v>43.1</v>
      </c>
      <c r="G9" s="58" t="n">
        <v>23.1</v>
      </c>
      <c r="H9" s="58" t="n">
        <v>384.9</v>
      </c>
      <c r="I9" s="58" t="n">
        <v>218.5</v>
      </c>
      <c r="J9" s="58" t="n">
        <v>87.2</v>
      </c>
      <c r="K9" s="58" t="n">
        <v>10.6</v>
      </c>
      <c r="L9" s="58" t="n">
        <v>13.8</v>
      </c>
      <c r="M9" s="58" t="n">
        <v>15.2</v>
      </c>
      <c r="N9" s="58" t="n">
        <v>2.2</v>
      </c>
      <c r="O9" s="58" t="n">
        <v>5.3</v>
      </c>
      <c r="P9" s="58" t="n">
        <v>21.2</v>
      </c>
      <c r="Q9" s="58" t="n">
        <v>15.6</v>
      </c>
      <c r="R9" s="58" t="n">
        <v>35</v>
      </c>
      <c r="S9" s="58" t="n">
        <v>44.6</v>
      </c>
      <c r="T9" s="58" t="n">
        <v>36.9</v>
      </c>
      <c r="U9" s="58" t="n">
        <v>33</v>
      </c>
      <c r="V9" s="58" t="n">
        <v>155.5</v>
      </c>
      <c r="W9" s="58" t="n">
        <v>133.9</v>
      </c>
      <c r="X9" s="58" t="n">
        <v>95.40000000000001</v>
      </c>
      <c r="Y9" s="58" t="n">
        <v>87.40000000000001</v>
      </c>
      <c r="Z9" s="58" t="n">
        <v>29.3</v>
      </c>
      <c r="AA9" s="58" t="n">
        <v>162</v>
      </c>
      <c r="AB9" s="58" t="n">
        <v>6.5</v>
      </c>
      <c r="AC9" s="58" t="n">
        <v>8.1</v>
      </c>
      <c r="AD9" s="58" t="n">
        <v>8.6</v>
      </c>
      <c r="AE9" s="58" t="n">
        <v>8.300000000000001</v>
      </c>
      <c r="AF9" s="58" t="n">
        <v>24.5</v>
      </c>
      <c r="AG9" s="58" t="n">
        <v>75.3</v>
      </c>
      <c r="AH9" s="58" t="n">
        <v>7</v>
      </c>
      <c r="AI9" s="58" t="n">
        <v>23.8</v>
      </c>
      <c r="AJ9" s="58" t="n">
        <v>21.8</v>
      </c>
      <c r="AK9" s="58" t="n">
        <v>29.8</v>
      </c>
      <c r="AL9" s="58" t="n">
        <v>52.3</v>
      </c>
    </row>
    <row r="10" ht="11" customHeight="1">
      <c r="B10" s="57" t="n">
        <v>2</v>
      </c>
      <c r="C10" s="58" t="n">
        <v>34.8</v>
      </c>
      <c r="D10" s="58" t="n">
        <v>17</v>
      </c>
      <c r="E10" s="58" t="n">
        <v>77.90000000000001</v>
      </c>
      <c r="F10" s="58" t="n">
        <v>60.1</v>
      </c>
      <c r="G10" s="58" t="n">
        <v>15.8</v>
      </c>
      <c r="H10" s="58" t="n">
        <v>123.9</v>
      </c>
      <c r="I10" s="58" t="n">
        <v>321.5</v>
      </c>
      <c r="J10" s="58" t="n">
        <v>126.2</v>
      </c>
      <c r="K10" s="58" t="n">
        <v>10.6</v>
      </c>
      <c r="L10" s="58" t="n">
        <v>17.2</v>
      </c>
      <c r="M10" s="58" t="n">
        <v>16.2</v>
      </c>
      <c r="N10" s="58" t="n">
        <v>4.6</v>
      </c>
      <c r="O10" s="58" t="n">
        <v>12.5</v>
      </c>
      <c r="P10" s="58" t="n">
        <v>65.3</v>
      </c>
      <c r="Q10" s="58" t="n">
        <v>29.2</v>
      </c>
      <c r="R10" s="58" t="n">
        <v>39.4</v>
      </c>
      <c r="S10" s="58" t="n">
        <v>11</v>
      </c>
      <c r="T10" s="58" t="n">
        <v>76.09999999999999</v>
      </c>
      <c r="U10" s="58" t="n">
        <v>23.4</v>
      </c>
      <c r="V10" s="58" t="n">
        <v>27.8</v>
      </c>
      <c r="W10" s="58" t="n">
        <v>203</v>
      </c>
      <c r="X10" s="58" t="n">
        <v>256.6</v>
      </c>
      <c r="Y10" s="58" t="n">
        <v>78.5</v>
      </c>
      <c r="Z10" s="58" t="n">
        <v>57.3</v>
      </c>
      <c r="AA10" s="58" t="n">
        <v>79.90000000000001</v>
      </c>
      <c r="AB10" s="58" t="n">
        <v>5.4</v>
      </c>
      <c r="AC10" s="58" t="n">
        <v>8.9</v>
      </c>
      <c r="AD10" s="58" t="n">
        <v>19.3</v>
      </c>
      <c r="AE10" s="58" t="n">
        <v>14.7</v>
      </c>
      <c r="AF10" s="58" t="n">
        <v>34.9</v>
      </c>
      <c r="AG10" s="58" t="n">
        <v>84.8</v>
      </c>
      <c r="AH10" s="58" t="n">
        <v>9.5</v>
      </c>
      <c r="AI10" s="58" t="n">
        <v>15.3</v>
      </c>
      <c r="AJ10" s="58" t="n">
        <v>36.8</v>
      </c>
      <c r="AK10" s="58" t="n">
        <v>16.4</v>
      </c>
      <c r="AL10" s="58" t="n">
        <v>40.3</v>
      </c>
    </row>
    <row r="11" ht="11" customHeight="1">
      <c r="B11" s="57" t="n">
        <v>3</v>
      </c>
      <c r="C11" s="58" t="n">
        <v>65.2</v>
      </c>
      <c r="D11" s="58" t="n">
        <v>13.8</v>
      </c>
      <c r="E11" s="58" t="n">
        <v>45.9</v>
      </c>
      <c r="F11" s="58" t="n">
        <v>20.2</v>
      </c>
      <c r="G11" s="58" t="n">
        <v>21.9</v>
      </c>
      <c r="H11" s="58" t="n">
        <v>124.1</v>
      </c>
      <c r="I11" s="58" t="n">
        <v>568.7</v>
      </c>
      <c r="J11" s="58" t="n">
        <v>111</v>
      </c>
      <c r="K11" s="58" t="n">
        <v>38.8</v>
      </c>
      <c r="L11" s="58" t="n">
        <v>13.7</v>
      </c>
      <c r="M11" s="58" t="n">
        <v>33.8</v>
      </c>
      <c r="N11" s="58" t="n">
        <v>278.1</v>
      </c>
      <c r="O11" s="58" t="n">
        <v>7.7</v>
      </c>
      <c r="P11" s="58" t="n">
        <v>102.7</v>
      </c>
      <c r="Q11" s="58" t="n">
        <v>71.5</v>
      </c>
      <c r="R11" s="58" t="n">
        <v>98</v>
      </c>
      <c r="S11" s="58" t="n">
        <v>41.9</v>
      </c>
      <c r="T11" s="58" t="n">
        <v>68.90000000000001</v>
      </c>
      <c r="U11" s="58" t="n">
        <v>21.9</v>
      </c>
      <c r="V11" s="58" t="n">
        <v>7.2</v>
      </c>
      <c r="W11" s="58" t="n">
        <v>42.4</v>
      </c>
      <c r="X11" s="58" t="n">
        <v>442.8</v>
      </c>
      <c r="Y11" s="58" t="n">
        <v>82.3</v>
      </c>
      <c r="Z11" s="58" t="n">
        <v>75.5</v>
      </c>
      <c r="AA11" s="58" t="n">
        <v>108.7</v>
      </c>
      <c r="AB11" s="58" t="n">
        <v>8.6</v>
      </c>
      <c r="AC11" s="58" t="n">
        <v>28.3</v>
      </c>
      <c r="AD11" s="58" t="n">
        <v>24.9</v>
      </c>
      <c r="AE11" s="58" t="n">
        <v>11.5</v>
      </c>
      <c r="AF11" s="58" t="n">
        <v>51.6</v>
      </c>
      <c r="AG11" s="58" t="n">
        <v>38.4</v>
      </c>
      <c r="AH11" s="58" t="n">
        <v>10.3</v>
      </c>
      <c r="AI11" s="58" t="n">
        <v>15.1</v>
      </c>
      <c r="AJ11" s="58" t="n">
        <v>234.6</v>
      </c>
      <c r="AK11" s="58" t="n">
        <v>8</v>
      </c>
      <c r="AL11" s="58" t="n">
        <v>76.3</v>
      </c>
    </row>
    <row r="12" ht="11" customHeight="1">
      <c r="B12" s="57" t="n">
        <v>4</v>
      </c>
      <c r="C12" s="58" t="n">
        <v>37.1</v>
      </c>
      <c r="D12" s="58" t="n">
        <v>21.3</v>
      </c>
      <c r="E12" s="58" t="n">
        <v>204.3</v>
      </c>
      <c r="F12" s="58" t="n">
        <v>17</v>
      </c>
      <c r="G12" s="58" t="n">
        <v>51</v>
      </c>
      <c r="H12" s="58" t="n">
        <v>120.1</v>
      </c>
      <c r="I12" s="58" t="n">
        <v>307.9</v>
      </c>
      <c r="J12" s="58" t="n">
        <v>85.5</v>
      </c>
      <c r="K12" s="58" t="n">
        <v>43.1</v>
      </c>
      <c r="L12" s="58" t="n">
        <v>14.5</v>
      </c>
      <c r="M12" s="58" t="n">
        <v>46.5</v>
      </c>
      <c r="N12" s="58" t="n">
        <v>2917</v>
      </c>
      <c r="O12" s="58" t="n">
        <v>13.3</v>
      </c>
      <c r="P12" s="58" t="n">
        <v>244.3</v>
      </c>
      <c r="Q12" s="58" t="n">
        <v>91.59999999999999</v>
      </c>
      <c r="R12" s="58" t="n">
        <v>72</v>
      </c>
      <c r="S12" s="58" t="n">
        <v>23.4</v>
      </c>
      <c r="T12" s="58" t="n">
        <v>41.3</v>
      </c>
      <c r="U12" s="58" t="n">
        <v>121.3</v>
      </c>
      <c r="V12" s="58" t="n">
        <v>12.8</v>
      </c>
      <c r="W12" s="58" t="n">
        <v>35.9</v>
      </c>
      <c r="X12" s="58" t="n">
        <v>319.8</v>
      </c>
      <c r="Y12" s="58" t="n">
        <v>72.7</v>
      </c>
      <c r="Z12" s="58" t="n">
        <v>124.3</v>
      </c>
      <c r="AA12" s="58" t="n">
        <v>118.6</v>
      </c>
      <c r="AB12" s="58" t="n">
        <v>45.4</v>
      </c>
      <c r="AC12" s="58" t="n">
        <v>73.09999999999999</v>
      </c>
      <c r="AD12" s="58" t="n">
        <v>8.5</v>
      </c>
      <c r="AE12" s="58" t="n">
        <v>13.5</v>
      </c>
      <c r="AF12" s="58" t="n">
        <v>126.2</v>
      </c>
      <c r="AG12" s="58" t="n">
        <v>20.2</v>
      </c>
      <c r="AH12" s="58" t="n">
        <v>288.7</v>
      </c>
      <c r="AI12" s="58" t="n">
        <v>19.1</v>
      </c>
      <c r="AJ12" s="58" t="n">
        <v>169.3</v>
      </c>
      <c r="AK12" s="58" t="n">
        <v>19.2</v>
      </c>
      <c r="AL12" s="58" t="n">
        <v>169.4</v>
      </c>
    </row>
    <row r="13" ht="11" customHeight="1">
      <c r="B13" s="57" t="n">
        <v>5</v>
      </c>
      <c r="C13" s="58" t="n">
        <v>1.8</v>
      </c>
      <c r="D13" s="58" t="n">
        <v>49</v>
      </c>
      <c r="E13" s="58" t="n">
        <v>23.6</v>
      </c>
      <c r="F13" s="58" t="n">
        <v>22.6</v>
      </c>
      <c r="G13" s="58" t="n">
        <v>72.2</v>
      </c>
      <c r="H13" s="58" t="n">
        <v>36.9</v>
      </c>
      <c r="I13" s="58" t="n">
        <v>11</v>
      </c>
      <c r="J13" s="58" t="n">
        <v>121.7</v>
      </c>
      <c r="K13" s="58" t="n">
        <v>20.7</v>
      </c>
      <c r="L13" s="58" t="n">
        <v>34.4</v>
      </c>
      <c r="M13" s="58" t="n">
        <v>47.1</v>
      </c>
      <c r="N13" s="58" t="n">
        <v>1551.4</v>
      </c>
      <c r="O13" s="58" t="n">
        <v>19.3</v>
      </c>
      <c r="P13" s="58" t="n">
        <v>69.09999999999999</v>
      </c>
      <c r="Q13" s="58" t="n">
        <v>69.2</v>
      </c>
      <c r="R13" s="58" t="n">
        <v>129.8</v>
      </c>
      <c r="S13" s="58" t="n">
        <v>13.1</v>
      </c>
      <c r="T13" s="58" t="n">
        <v>123.7</v>
      </c>
      <c r="U13" s="58" t="n">
        <v>40.5</v>
      </c>
      <c r="V13" s="58" t="n">
        <v>20.8</v>
      </c>
      <c r="W13" s="58" t="n">
        <v>105.5</v>
      </c>
      <c r="X13" s="58" t="n">
        <v>45.3</v>
      </c>
      <c r="Y13" s="58" t="n">
        <v>99.59999999999999</v>
      </c>
      <c r="Z13" s="58" t="n">
        <v>828.3</v>
      </c>
      <c r="AA13" s="58" t="n">
        <v>178.2</v>
      </c>
      <c r="AB13" s="58" t="n">
        <v>40.5</v>
      </c>
      <c r="AC13" s="58" t="n">
        <v>22.1</v>
      </c>
      <c r="AD13" s="58" t="n">
        <v>8.5</v>
      </c>
      <c r="AE13" s="58" t="n">
        <v>8.699999999999999</v>
      </c>
      <c r="AF13" s="58" t="n">
        <v>60.6</v>
      </c>
      <c r="AG13" s="58" t="n">
        <v>6</v>
      </c>
      <c r="AH13" s="58" t="n">
        <v>571.1</v>
      </c>
      <c r="AI13" s="58" t="n">
        <v>28.7</v>
      </c>
      <c r="AJ13" s="58" t="n">
        <v>396.2</v>
      </c>
      <c r="AK13" s="58" t="n">
        <v>12</v>
      </c>
      <c r="AL13" s="58" t="n">
        <v>173.1</v>
      </c>
    </row>
    <row r="14" ht="11" customHeight="1">
      <c r="B14" s="57" t="n">
        <v>6</v>
      </c>
      <c r="C14" s="58" t="n">
        <v>18.8</v>
      </c>
      <c r="D14" s="58" t="n">
        <v>73.3</v>
      </c>
      <c r="E14" s="58" t="n">
        <v>1</v>
      </c>
      <c r="F14" s="58" t="n">
        <v>7.9</v>
      </c>
      <c r="G14" s="58" t="n">
        <v>157</v>
      </c>
      <c r="H14" s="58" t="n">
        <v>80</v>
      </c>
      <c r="I14" s="58" t="n">
        <v>23.8</v>
      </c>
      <c r="J14" s="58" t="n">
        <v>46.7</v>
      </c>
      <c r="K14" s="58" t="n">
        <v>34.8</v>
      </c>
      <c r="L14" s="58" t="n">
        <v>31.9</v>
      </c>
      <c r="M14" s="58" t="n">
        <v>19.1</v>
      </c>
      <c r="N14" s="58" t="n">
        <v>4514.6</v>
      </c>
      <c r="O14" s="58" t="n">
        <v>16.9</v>
      </c>
      <c r="P14" s="58" t="n">
        <v>32</v>
      </c>
      <c r="Q14" s="58" t="n">
        <v>1</v>
      </c>
      <c r="R14" s="58" t="n">
        <v>75.40000000000001</v>
      </c>
      <c r="S14" s="58" t="n">
        <v>216.2</v>
      </c>
      <c r="T14" s="58" t="n">
        <v>9.1</v>
      </c>
      <c r="U14" s="58" t="n">
        <v>19.6</v>
      </c>
      <c r="V14" s="58" t="n">
        <v>28.1</v>
      </c>
      <c r="W14" s="58" t="n">
        <v>69.09999999999999</v>
      </c>
      <c r="X14" s="58" t="n">
        <v>57.3</v>
      </c>
      <c r="Y14" s="58" t="n">
        <v>135.3</v>
      </c>
      <c r="Z14" s="58" t="n">
        <v>202</v>
      </c>
      <c r="AA14" s="58" t="n">
        <v>351.8</v>
      </c>
      <c r="AB14" s="58" t="n">
        <v>24.5</v>
      </c>
      <c r="AC14" s="58" t="n">
        <v>12.3</v>
      </c>
      <c r="AD14" s="58" t="n">
        <v>13.4</v>
      </c>
      <c r="AE14" s="58" t="n">
        <v>21</v>
      </c>
      <c r="AF14" s="58" t="n">
        <v>58.3</v>
      </c>
      <c r="AG14" s="58" t="n">
        <v>10.8</v>
      </c>
      <c r="AH14" s="58" t="n">
        <v>234.3</v>
      </c>
      <c r="AI14" s="58" t="n">
        <v>40.3</v>
      </c>
      <c r="AJ14" s="58" t="n">
        <v>230.6</v>
      </c>
      <c r="AK14" s="58" t="n">
        <v>140.7</v>
      </c>
      <c r="AL14" s="58" t="n">
        <v>192.3</v>
      </c>
    </row>
    <row r="15" ht="11" customHeight="1">
      <c r="B15" s="57" t="n">
        <v>7</v>
      </c>
      <c r="C15" s="58" t="n">
        <v>26.7</v>
      </c>
      <c r="D15" s="58" t="n">
        <v>36.9</v>
      </c>
      <c r="E15" s="58" t="n">
        <v>1.3</v>
      </c>
      <c r="F15" s="58" t="n">
        <v>32.7</v>
      </c>
      <c r="G15" s="58" t="n">
        <v>29.7</v>
      </c>
      <c r="H15" s="58" t="n">
        <v>52.4</v>
      </c>
      <c r="I15" s="58" t="n">
        <v>24.6</v>
      </c>
      <c r="J15" s="58" t="n">
        <v>36.6</v>
      </c>
      <c r="K15" s="58" t="n">
        <v>81.2</v>
      </c>
      <c r="L15" s="58" t="n">
        <v>20</v>
      </c>
      <c r="M15" s="58" t="n">
        <v>33.4</v>
      </c>
      <c r="N15" s="58" t="n">
        <v>121.4</v>
      </c>
      <c r="O15" s="58" t="n">
        <v>72.09999999999999</v>
      </c>
      <c r="P15" s="58" t="n">
        <v>33.6</v>
      </c>
      <c r="Q15" s="58" t="n">
        <v>1</v>
      </c>
      <c r="R15" s="58" t="n">
        <v>61</v>
      </c>
      <c r="S15" s="58" t="n">
        <v>431.7</v>
      </c>
      <c r="T15" s="58" t="n">
        <v>2.7</v>
      </c>
      <c r="U15" s="58" t="n">
        <v>27.6</v>
      </c>
      <c r="V15" s="58" t="n">
        <v>14.6</v>
      </c>
      <c r="W15" s="58" t="n">
        <v>112.8</v>
      </c>
      <c r="X15" s="58" t="n">
        <v>51.7</v>
      </c>
      <c r="Y15" s="58" t="n">
        <v>215.3</v>
      </c>
      <c r="Z15" s="58" t="n">
        <v>303.5</v>
      </c>
      <c r="AA15" s="58" t="n">
        <v>5.5</v>
      </c>
      <c r="AB15" s="58" t="n">
        <v>55.7</v>
      </c>
      <c r="AC15" s="58" t="n">
        <v>19.5</v>
      </c>
      <c r="AD15" s="58" t="n">
        <v>9.699999999999999</v>
      </c>
      <c r="AE15" s="58" t="n">
        <v>7.5</v>
      </c>
      <c r="AF15" s="58" t="n">
        <v>33.8</v>
      </c>
      <c r="AG15" s="58" t="n">
        <v>29.2</v>
      </c>
      <c r="AH15" s="58" t="n">
        <v>142</v>
      </c>
      <c r="AI15" s="58" t="n">
        <v>38.9</v>
      </c>
      <c r="AJ15" s="58" t="n">
        <v>61.5</v>
      </c>
      <c r="AK15" s="58" t="n">
        <v>167.2</v>
      </c>
      <c r="AL15" s="58" t="n">
        <v>63.1</v>
      </c>
    </row>
    <row r="16" ht="11" customHeight="1">
      <c r="B16" s="57" t="n">
        <v>8</v>
      </c>
      <c r="C16" s="58" t="n">
        <v>51.5</v>
      </c>
      <c r="D16" s="58" t="n">
        <v>49.7</v>
      </c>
      <c r="E16" s="58" t="n">
        <v>13.2</v>
      </c>
      <c r="F16" s="58" t="n">
        <v>128.9</v>
      </c>
      <c r="G16" s="58" t="n">
        <v>28.8</v>
      </c>
      <c r="H16" s="58" t="n">
        <v>56.6</v>
      </c>
      <c r="I16" s="58" t="n">
        <v>57</v>
      </c>
      <c r="J16" s="58" t="n">
        <v>51</v>
      </c>
      <c r="K16" s="58" t="n">
        <v>42.7</v>
      </c>
      <c r="L16" s="58" t="n">
        <v>15.9</v>
      </c>
      <c r="M16" s="58" t="n">
        <v>152.3</v>
      </c>
      <c r="N16" s="58" t="n">
        <v>36.6</v>
      </c>
      <c r="O16" s="58" t="n">
        <v>33.5</v>
      </c>
      <c r="P16" s="58" t="n">
        <v>63.8</v>
      </c>
      <c r="Q16" s="58" t="n">
        <v>15.8</v>
      </c>
      <c r="R16" s="58" t="n">
        <v>51.6</v>
      </c>
      <c r="S16" s="58" t="n">
        <v>187.8</v>
      </c>
      <c r="T16" s="58" t="n">
        <v>7</v>
      </c>
      <c r="U16" s="58" t="n">
        <v>62.3</v>
      </c>
      <c r="V16" s="58" t="n">
        <v>33.7</v>
      </c>
      <c r="W16" s="58" t="n">
        <v>84.3</v>
      </c>
      <c r="X16" s="58" t="n">
        <v>83.2</v>
      </c>
      <c r="Y16" s="58" t="n">
        <v>94.8</v>
      </c>
      <c r="Z16" s="58" t="n">
        <v>707.5</v>
      </c>
      <c r="AA16" s="58" t="n">
        <v>9.5</v>
      </c>
      <c r="AB16" s="58" t="n">
        <v>48.5</v>
      </c>
      <c r="AC16" s="58" t="n">
        <v>12.9</v>
      </c>
      <c r="AD16" s="58" t="n">
        <v>8.1</v>
      </c>
      <c r="AE16" s="58" t="n">
        <v>10.7</v>
      </c>
      <c r="AF16" s="58" t="n">
        <v>37</v>
      </c>
      <c r="AG16" s="58" t="n">
        <v>81.3</v>
      </c>
      <c r="AH16" s="58" t="n">
        <v>22.6</v>
      </c>
      <c r="AI16" s="58" t="n">
        <v>19.7</v>
      </c>
      <c r="AJ16" s="58" t="n">
        <v>15.1</v>
      </c>
      <c r="AK16" s="58" t="n">
        <v>176.8</v>
      </c>
      <c r="AL16" s="58" t="n">
        <v>58.7</v>
      </c>
    </row>
    <row r="17" ht="11" customHeight="1">
      <c r="B17" s="57" t="n">
        <v>9</v>
      </c>
      <c r="C17" s="58" t="n">
        <v>239.9</v>
      </c>
      <c r="D17" s="58" t="n">
        <v>29.4</v>
      </c>
      <c r="E17" s="58" t="n">
        <v>14</v>
      </c>
      <c r="F17" s="58" t="n">
        <v>26.9</v>
      </c>
      <c r="G17" s="58" t="n">
        <v>34</v>
      </c>
      <c r="H17" s="58" t="n">
        <v>65.40000000000001</v>
      </c>
      <c r="I17" s="58" t="n">
        <v>59.4</v>
      </c>
      <c r="J17" s="58" t="n">
        <v>51.8</v>
      </c>
      <c r="K17" s="58" t="n">
        <v>18.9</v>
      </c>
      <c r="L17" s="58" t="n">
        <v>9.5</v>
      </c>
      <c r="M17" s="58" t="n">
        <v>87.5</v>
      </c>
      <c r="N17" s="58" t="n">
        <v>29.6</v>
      </c>
      <c r="O17" s="58" t="n">
        <v>81.59999999999999</v>
      </c>
      <c r="P17" s="58" t="n">
        <v>91.59999999999999</v>
      </c>
      <c r="Q17" s="58" t="n">
        <v>71.59999999999999</v>
      </c>
      <c r="R17" s="58" t="n">
        <v>61.5</v>
      </c>
      <c r="S17" s="58" t="n">
        <v>40.2</v>
      </c>
      <c r="T17" s="58" t="n">
        <v>53</v>
      </c>
      <c r="U17" s="58" t="n">
        <v>28.3</v>
      </c>
      <c r="V17" s="58" t="n">
        <v>88.09999999999999</v>
      </c>
      <c r="W17" s="58" t="n">
        <v>103.6</v>
      </c>
      <c r="X17" s="58" t="n">
        <v>188.9</v>
      </c>
      <c r="Y17" s="58" t="n">
        <v>68.40000000000001</v>
      </c>
      <c r="Z17" s="58" t="n">
        <v>124.1</v>
      </c>
      <c r="AA17" s="58" t="n">
        <v>8.699999999999999</v>
      </c>
      <c r="AB17" s="58" t="n">
        <v>22.5</v>
      </c>
      <c r="AC17" s="58" t="n">
        <v>5.3</v>
      </c>
      <c r="AD17" s="58" t="n">
        <v>19.1</v>
      </c>
      <c r="AE17" s="58" t="n">
        <v>135.3</v>
      </c>
      <c r="AF17" s="58" t="n">
        <v>90.90000000000001</v>
      </c>
      <c r="AG17" s="58" t="n">
        <v>66.90000000000001</v>
      </c>
      <c r="AH17" s="58" t="n">
        <v>17.8</v>
      </c>
      <c r="AI17" s="58" t="n">
        <v>8.1</v>
      </c>
      <c r="AJ17" s="58" t="n">
        <v>60.3</v>
      </c>
      <c r="AK17" s="58" t="n">
        <v>199.9</v>
      </c>
      <c r="AL17" s="58" t="n">
        <v>13.1</v>
      </c>
    </row>
    <row r="18" ht="11" customHeight="1">
      <c r="B18" s="57" t="n">
        <v>10</v>
      </c>
      <c r="C18" s="58" t="n">
        <v>109.5</v>
      </c>
      <c r="D18" s="58" t="n">
        <v>19.4</v>
      </c>
      <c r="E18" s="58" t="n">
        <v>8.4</v>
      </c>
      <c r="F18" s="58" t="n">
        <v>72.5</v>
      </c>
      <c r="G18" s="58" t="n">
        <v>9.199999999999999</v>
      </c>
      <c r="H18" s="58" t="n">
        <v>256.2</v>
      </c>
      <c r="I18" s="58" t="n">
        <v>16</v>
      </c>
      <c r="J18" s="58" t="n">
        <v>160.1</v>
      </c>
      <c r="K18" s="58" t="n">
        <v>22.9</v>
      </c>
      <c r="L18" s="58" t="n">
        <v>42.2</v>
      </c>
      <c r="M18" s="58" t="n">
        <v>99.09999999999999</v>
      </c>
      <c r="N18" s="58" t="n">
        <v>27.7</v>
      </c>
      <c r="O18" s="58" t="n">
        <v>63.9</v>
      </c>
      <c r="P18" s="58" t="n">
        <v>41.1</v>
      </c>
      <c r="Q18" s="58" t="n">
        <v>103.4</v>
      </c>
      <c r="R18" s="58" t="n">
        <v>147.1</v>
      </c>
      <c r="S18" s="58" t="n">
        <v>29</v>
      </c>
      <c r="T18" s="58" t="n">
        <v>61</v>
      </c>
      <c r="U18" s="58" t="n">
        <v>85.09999999999999</v>
      </c>
      <c r="V18" s="58" t="n">
        <v>67.8</v>
      </c>
      <c r="W18" s="58" t="n">
        <v>148.9</v>
      </c>
      <c r="X18" s="58" t="n">
        <v>252.9</v>
      </c>
      <c r="Y18" s="58" t="n">
        <v>13.2</v>
      </c>
      <c r="Z18" s="58" t="n">
        <v>248.5</v>
      </c>
      <c r="AA18" s="58" t="n">
        <v>6.3</v>
      </c>
      <c r="AB18" s="58" t="n">
        <v>16.4</v>
      </c>
      <c r="AC18" s="58" t="n">
        <v>20.3</v>
      </c>
      <c r="AD18" s="58" t="n">
        <v>7.3</v>
      </c>
      <c r="AE18" s="58" t="n">
        <v>139.8</v>
      </c>
      <c r="AF18" s="58" t="n">
        <v>91.90000000000001</v>
      </c>
      <c r="AG18" s="58" t="n">
        <v>219.7</v>
      </c>
      <c r="AH18" s="58" t="n">
        <v>117.2</v>
      </c>
      <c r="AI18" s="58" t="n">
        <v>17.7</v>
      </c>
      <c r="AJ18" s="58" t="n">
        <v>35.3</v>
      </c>
      <c r="AK18" s="58" t="n">
        <v>111.8</v>
      </c>
      <c r="AL18" s="58" t="n">
        <v>103.3</v>
      </c>
    </row>
    <row r="19" ht="11" customHeight="1">
      <c r="B19" s="57" t="n">
        <v>11</v>
      </c>
      <c r="C19" s="58" t="n">
        <v>111.9</v>
      </c>
      <c r="D19" s="58" t="n">
        <v>138.4</v>
      </c>
      <c r="E19" s="58" t="n">
        <v>6</v>
      </c>
      <c r="F19" s="58" t="n">
        <v>113.1</v>
      </c>
      <c r="G19" s="58" t="n">
        <v>67.7</v>
      </c>
      <c r="H19" s="58" t="n">
        <v>467.4</v>
      </c>
      <c r="I19" s="58" t="n">
        <v>4.3</v>
      </c>
      <c r="J19" s="58" t="n">
        <v>290.9</v>
      </c>
      <c r="K19" s="58" t="n">
        <v>10.2</v>
      </c>
      <c r="L19" s="58" t="n">
        <v>55.6</v>
      </c>
      <c r="M19" s="58" t="n">
        <v>123.1</v>
      </c>
      <c r="N19" s="58" t="n">
        <v>50.9</v>
      </c>
      <c r="O19" s="58" t="n">
        <v>17.4</v>
      </c>
      <c r="P19" s="58" t="n">
        <v>56</v>
      </c>
      <c r="Q19" s="58" t="n">
        <v>79.09999999999999</v>
      </c>
      <c r="R19" s="58" t="n">
        <v>263.8</v>
      </c>
      <c r="S19" s="58" t="n">
        <v>45.8</v>
      </c>
      <c r="T19" s="58" t="n">
        <v>225.8</v>
      </c>
      <c r="U19" s="58" t="n">
        <v>70</v>
      </c>
      <c r="V19" s="58" t="n">
        <v>309.5</v>
      </c>
      <c r="W19" s="58" t="n">
        <v>14.2</v>
      </c>
      <c r="X19" s="58" t="n">
        <v>213.7</v>
      </c>
      <c r="Y19" s="58" t="n">
        <v>88.59999999999999</v>
      </c>
      <c r="Z19" s="58" t="n">
        <v>92.90000000000001</v>
      </c>
      <c r="AA19" s="58" t="n">
        <v>46</v>
      </c>
      <c r="AB19" s="58" t="n">
        <v>56.9</v>
      </c>
      <c r="AC19" s="58" t="n">
        <v>19.2</v>
      </c>
      <c r="AD19" s="58" t="n">
        <v>11.3</v>
      </c>
      <c r="AE19" s="58" t="n">
        <v>73.40000000000001</v>
      </c>
      <c r="AF19" s="58" t="n">
        <v>22.1</v>
      </c>
      <c r="AG19" s="58" t="n">
        <v>54.4</v>
      </c>
      <c r="AH19" s="58" t="n">
        <v>189.3</v>
      </c>
      <c r="AI19" s="58" t="n">
        <v>6.3</v>
      </c>
      <c r="AJ19" s="58" t="n">
        <v>28.9</v>
      </c>
      <c r="AK19" s="58" t="n">
        <v>171.8</v>
      </c>
      <c r="AL19" s="58" t="n">
        <v>38.1</v>
      </c>
    </row>
    <row r="20" ht="11" customHeight="1">
      <c r="B20" s="57" t="n">
        <v>12</v>
      </c>
      <c r="C20" s="58" t="n">
        <v>11.6</v>
      </c>
      <c r="D20" s="58" t="n">
        <v>45.4</v>
      </c>
      <c r="E20" s="58" t="n">
        <v>79.09999999999999</v>
      </c>
      <c r="F20" s="58" t="n">
        <v>188.2</v>
      </c>
      <c r="G20" s="58" t="n">
        <v>81.8</v>
      </c>
      <c r="H20" s="58" t="n">
        <v>360.7</v>
      </c>
      <c r="I20" s="58" t="n">
        <v>9.4</v>
      </c>
      <c r="J20" s="58" t="n">
        <v>116.1</v>
      </c>
      <c r="K20" s="58" t="n">
        <v>15.5</v>
      </c>
      <c r="L20" s="58" t="n">
        <v>101.7</v>
      </c>
      <c r="M20" s="58" t="n">
        <v>55.3</v>
      </c>
      <c r="N20" s="58" t="n">
        <v>28</v>
      </c>
      <c r="O20" s="58" t="n">
        <v>20.6</v>
      </c>
      <c r="P20" s="58" t="n">
        <v>51.6</v>
      </c>
      <c r="Q20" s="58" t="n">
        <v>275.1</v>
      </c>
      <c r="R20" s="58" t="n">
        <v>238.4</v>
      </c>
      <c r="S20" s="58" t="n">
        <v>131.5</v>
      </c>
      <c r="T20" s="58" t="n">
        <v>150.6</v>
      </c>
      <c r="U20" s="58" t="n">
        <v>208.6</v>
      </c>
      <c r="V20" s="58" t="n">
        <v>373.5</v>
      </c>
      <c r="W20" s="58" t="n">
        <v>33.4</v>
      </c>
      <c r="X20" s="58" t="n">
        <v>359.3</v>
      </c>
      <c r="Y20" s="58" t="n">
        <v>75.8</v>
      </c>
      <c r="Z20" s="58" t="n">
        <v>64.40000000000001</v>
      </c>
      <c r="AA20" s="58" t="n">
        <v>106.2</v>
      </c>
      <c r="AB20" s="58" t="n">
        <v>17.3</v>
      </c>
      <c r="AC20" s="58" t="n">
        <v>22.4</v>
      </c>
      <c r="AD20" s="58" t="n">
        <v>34.2</v>
      </c>
      <c r="AE20" s="58" t="n">
        <v>69.90000000000001</v>
      </c>
      <c r="AF20" s="58" t="n">
        <v>26.9</v>
      </c>
      <c r="AG20" s="58" t="n">
        <v>104.8</v>
      </c>
      <c r="AH20" s="58" t="n">
        <v>405.4</v>
      </c>
      <c r="AI20" s="58" t="n">
        <v>6</v>
      </c>
      <c r="AJ20" s="58" t="n">
        <v>26.2</v>
      </c>
      <c r="AK20" s="58" t="n">
        <v>67.7</v>
      </c>
      <c r="AL20" s="58" t="n">
        <v>54.9</v>
      </c>
    </row>
    <row r="21" ht="11" customHeight="1">
      <c r="B21" s="57" t="n">
        <v>13</v>
      </c>
      <c r="C21" s="58" t="n">
        <v>11.9</v>
      </c>
      <c r="D21" s="58" t="n">
        <v>46.2</v>
      </c>
      <c r="E21" s="58" t="n">
        <v>170.3</v>
      </c>
      <c r="F21" s="58" t="n">
        <v>144.2</v>
      </c>
      <c r="G21" s="58" t="n">
        <v>42.4</v>
      </c>
      <c r="H21" s="58" t="n">
        <v>60.7</v>
      </c>
      <c r="I21" s="58" t="n">
        <v>29.3</v>
      </c>
      <c r="J21" s="58" t="n">
        <v>13.9</v>
      </c>
      <c r="K21" s="58" t="n">
        <v>11.7</v>
      </c>
      <c r="L21" s="58" t="n">
        <v>59.3</v>
      </c>
      <c r="M21" s="58" t="n">
        <v>18.4</v>
      </c>
      <c r="N21" s="58" t="n">
        <v>18.9</v>
      </c>
      <c r="O21" s="58" t="n">
        <v>23.8</v>
      </c>
      <c r="P21" s="58" t="n">
        <v>42.5</v>
      </c>
      <c r="Q21" s="58" t="n">
        <v>167.1</v>
      </c>
      <c r="R21" s="58" t="n">
        <v>380</v>
      </c>
      <c r="S21" s="58" t="n">
        <v>87.5</v>
      </c>
      <c r="T21" s="58" t="n">
        <v>140.8</v>
      </c>
      <c r="U21" s="58" t="n">
        <v>211</v>
      </c>
      <c r="V21" s="58" t="n">
        <v>449.8</v>
      </c>
      <c r="W21" s="58" t="n">
        <v>36.4</v>
      </c>
      <c r="X21" s="58" t="n">
        <v>384.6</v>
      </c>
      <c r="Y21" s="58" t="n">
        <v>158.7</v>
      </c>
      <c r="Z21" s="58" t="n">
        <v>63.6</v>
      </c>
      <c r="AA21" s="58" t="n">
        <v>135</v>
      </c>
      <c r="AB21" s="58" t="n">
        <v>169.7</v>
      </c>
      <c r="AC21" s="58" t="n">
        <v>17.6</v>
      </c>
      <c r="AD21" s="58" t="n">
        <v>55</v>
      </c>
      <c r="AE21" s="58" t="n">
        <v>226.4</v>
      </c>
      <c r="AF21" s="58" t="n">
        <v>34.1</v>
      </c>
      <c r="AG21" s="58" t="n">
        <v>100.9</v>
      </c>
      <c r="AH21" s="58" t="n">
        <v>246.4</v>
      </c>
      <c r="AI21" s="58" t="n">
        <v>34.8</v>
      </c>
      <c r="AJ21" s="58" t="n">
        <v>27</v>
      </c>
      <c r="AK21" s="58" t="n">
        <v>74.2</v>
      </c>
      <c r="AL21" s="58" t="n">
        <v>1147.7</v>
      </c>
    </row>
    <row r="22" ht="11" customHeight="1">
      <c r="B22" s="57" t="n">
        <v>14</v>
      </c>
      <c r="C22" s="58" t="n">
        <v>16.9</v>
      </c>
      <c r="D22" s="58" t="n">
        <v>75.59999999999999</v>
      </c>
      <c r="E22" s="58" t="n">
        <v>63.4</v>
      </c>
      <c r="F22" s="58" t="n">
        <v>159</v>
      </c>
      <c r="G22" s="58" t="n">
        <v>49.7</v>
      </c>
      <c r="H22" s="58" t="n">
        <v>22.3</v>
      </c>
      <c r="I22" s="58" t="n">
        <v>9.300000000000001</v>
      </c>
      <c r="J22" s="58" t="n">
        <v>9.1</v>
      </c>
      <c r="K22" s="58" t="n">
        <v>29.3</v>
      </c>
      <c r="L22" s="58" t="n">
        <v>89.7</v>
      </c>
      <c r="M22" s="58" t="n">
        <v>27.1</v>
      </c>
      <c r="N22" s="58" t="n">
        <v>22.8</v>
      </c>
      <c r="O22" s="58" t="n">
        <v>56.7</v>
      </c>
      <c r="P22" s="58" t="n">
        <v>36.9</v>
      </c>
      <c r="Q22" s="58" t="n">
        <v>66.8</v>
      </c>
      <c r="R22" s="58" t="n">
        <v>172.7</v>
      </c>
      <c r="S22" s="58" t="n">
        <v>53.6</v>
      </c>
      <c r="T22" s="58" t="n">
        <v>76.59999999999999</v>
      </c>
      <c r="U22" s="58" t="n">
        <v>315.6</v>
      </c>
      <c r="V22" s="58" t="n">
        <v>417.9</v>
      </c>
      <c r="W22" s="58" t="n">
        <v>42.8</v>
      </c>
      <c r="X22" s="58" t="n">
        <v>187.1</v>
      </c>
      <c r="Y22" s="58" t="n">
        <v>243.9</v>
      </c>
      <c r="Z22" s="58" t="n">
        <v>91.59999999999999</v>
      </c>
      <c r="AA22" s="58" t="n">
        <v>5.7</v>
      </c>
      <c r="AB22" s="58" t="n">
        <v>51.6</v>
      </c>
      <c r="AC22" s="58" t="n">
        <v>59.2</v>
      </c>
      <c r="AD22" s="58" t="n">
        <v>30.6</v>
      </c>
      <c r="AE22" s="58" t="n">
        <v>224.8</v>
      </c>
      <c r="AF22" s="58" t="n">
        <v>33.2</v>
      </c>
      <c r="AG22" s="58" t="n">
        <v>60.4</v>
      </c>
      <c r="AH22" s="58" t="n">
        <v>280.8</v>
      </c>
      <c r="AI22" s="58" t="n">
        <v>176.7</v>
      </c>
      <c r="AJ22" s="58" t="n">
        <v>23.1</v>
      </c>
      <c r="AK22" s="58" t="n">
        <v>21.8</v>
      </c>
      <c r="AL22" s="58" t="n">
        <v>935.5</v>
      </c>
    </row>
    <row r="23" ht="11" customHeight="1">
      <c r="B23" s="57" t="n">
        <v>15</v>
      </c>
      <c r="C23" s="58" t="n">
        <v>37.5</v>
      </c>
      <c r="D23" s="58" t="n">
        <v>49.8</v>
      </c>
      <c r="E23" s="58" t="n">
        <v>27.2</v>
      </c>
      <c r="F23" s="58" t="n">
        <v>257.3</v>
      </c>
      <c r="G23" s="58" t="n">
        <v>53.9</v>
      </c>
      <c r="H23" s="58" t="n">
        <v>36.7</v>
      </c>
      <c r="I23" s="58" t="n">
        <v>14.8</v>
      </c>
      <c r="J23" s="58" t="n">
        <v>154</v>
      </c>
      <c r="K23" s="58" t="n">
        <v>18.1</v>
      </c>
      <c r="L23" s="58" t="n">
        <v>59.5</v>
      </c>
      <c r="M23" s="58" t="n">
        <v>239.3</v>
      </c>
      <c r="N23" s="58" t="n">
        <v>35.9</v>
      </c>
      <c r="O23" s="58" t="n">
        <v>103.4</v>
      </c>
      <c r="P23" s="58" t="n">
        <v>35.4</v>
      </c>
      <c r="Q23" s="58" t="n">
        <v>73.2</v>
      </c>
      <c r="R23" s="58" t="n">
        <v>108.7</v>
      </c>
      <c r="S23" s="58" t="n">
        <v>7</v>
      </c>
      <c r="T23" s="58" t="n">
        <v>21.4</v>
      </c>
      <c r="U23" s="58" t="n">
        <v>13.5</v>
      </c>
      <c r="V23" s="58" t="n">
        <v>88.90000000000001</v>
      </c>
      <c r="W23" s="58" t="n">
        <v>83.59999999999999</v>
      </c>
      <c r="X23" s="58" t="n">
        <v>8.1</v>
      </c>
      <c r="Y23" s="58" t="n">
        <v>283.9</v>
      </c>
      <c r="Z23" s="58" t="n">
        <v>17.3</v>
      </c>
      <c r="AA23" s="58" t="n">
        <v>3.3</v>
      </c>
      <c r="AB23" s="58" t="n">
        <v>74</v>
      </c>
      <c r="AC23" s="58" t="n">
        <v>25.7</v>
      </c>
      <c r="AD23" s="58" t="n">
        <v>23.9</v>
      </c>
      <c r="AE23" s="58" t="n">
        <v>237.6</v>
      </c>
      <c r="AF23" s="58" t="n">
        <v>31.6</v>
      </c>
      <c r="AG23" s="58" t="n">
        <v>150</v>
      </c>
      <c r="AH23" s="58" t="n">
        <v>108.3</v>
      </c>
      <c r="AI23" s="58" t="n">
        <v>372.7</v>
      </c>
      <c r="AJ23" s="58" t="n">
        <v>204.3</v>
      </c>
      <c r="AK23" s="58" t="n">
        <v>16.1</v>
      </c>
      <c r="AL23" s="58" t="n">
        <v>592.3</v>
      </c>
    </row>
    <row r="24" ht="11" customHeight="1">
      <c r="B24" s="57" t="n">
        <v>16</v>
      </c>
      <c r="C24" s="58" t="n">
        <v>32.1</v>
      </c>
      <c r="D24" s="58" t="n">
        <v>73</v>
      </c>
      <c r="E24" s="58" t="n">
        <v>24</v>
      </c>
      <c r="F24" s="58" t="n">
        <v>90.2</v>
      </c>
      <c r="G24" s="58" t="n">
        <v>29.9</v>
      </c>
      <c r="H24" s="58" t="n">
        <v>14.6</v>
      </c>
      <c r="I24" s="58" t="n">
        <v>154.6</v>
      </c>
      <c r="J24" s="58" t="n">
        <v>114</v>
      </c>
      <c r="K24" s="58" t="n">
        <v>30.9</v>
      </c>
      <c r="L24" s="58" t="n">
        <v>86.59999999999999</v>
      </c>
      <c r="M24" s="58" t="n">
        <v>352.9</v>
      </c>
      <c r="N24" s="58" t="n">
        <v>25.7</v>
      </c>
      <c r="O24" s="58" t="n">
        <v>113.8</v>
      </c>
      <c r="P24" s="58" t="n">
        <v>23.8</v>
      </c>
      <c r="Q24" s="58" t="n">
        <v>54.8</v>
      </c>
      <c r="R24" s="58" t="n">
        <v>91.90000000000001</v>
      </c>
      <c r="S24" s="58" t="n">
        <v>4.6</v>
      </c>
      <c r="T24" s="58" t="n">
        <v>16.2</v>
      </c>
      <c r="U24" s="58" t="n">
        <v>10.3</v>
      </c>
      <c r="V24" s="58" t="n">
        <v>18.1</v>
      </c>
      <c r="W24" s="58" t="n">
        <v>24.5</v>
      </c>
      <c r="X24" s="58" t="n">
        <v>20.9</v>
      </c>
      <c r="Y24" s="58" t="n">
        <v>276.1</v>
      </c>
      <c r="Z24" s="58" t="n">
        <v>18.1</v>
      </c>
      <c r="AA24" s="58" t="n">
        <v>39</v>
      </c>
      <c r="AB24" s="58" t="n">
        <v>32.4</v>
      </c>
      <c r="AC24" s="58" t="n">
        <v>154.3</v>
      </c>
      <c r="AD24" s="58" t="n">
        <v>23.9</v>
      </c>
      <c r="AE24" s="58" t="n">
        <v>5.3</v>
      </c>
      <c r="AF24" s="58" t="n">
        <v>11.6</v>
      </c>
      <c r="AG24" s="58" t="n">
        <v>219.2</v>
      </c>
      <c r="AH24" s="58" t="n">
        <v>38.3</v>
      </c>
      <c r="AI24" s="58" t="n">
        <v>115.9</v>
      </c>
      <c r="AJ24" s="58" t="n">
        <v>108.3</v>
      </c>
      <c r="AK24" s="58" t="n">
        <v>14.5</v>
      </c>
      <c r="AL24" s="58" t="n">
        <v>738.7</v>
      </c>
    </row>
    <row r="25" ht="11" customHeight="1">
      <c r="B25" s="57" t="n">
        <v>17</v>
      </c>
      <c r="C25" s="58" t="n">
        <v>133.7</v>
      </c>
      <c r="D25" s="58" t="n">
        <v>9</v>
      </c>
      <c r="E25" s="58" t="n">
        <v>92</v>
      </c>
      <c r="F25" s="58" t="n">
        <v>55</v>
      </c>
      <c r="G25" s="58" t="n">
        <v>12.3</v>
      </c>
      <c r="H25" s="58" t="n">
        <v>19.8</v>
      </c>
      <c r="I25" s="58" t="n">
        <v>45.8</v>
      </c>
      <c r="J25" s="58" t="n">
        <v>38</v>
      </c>
      <c r="K25" s="58" t="n">
        <v>126.9</v>
      </c>
      <c r="L25" s="58" t="n">
        <v>95.40000000000001</v>
      </c>
      <c r="M25" s="58" t="n">
        <v>316.9</v>
      </c>
      <c r="N25" s="58" t="n">
        <v>32.9</v>
      </c>
      <c r="O25" s="58" t="n">
        <v>60.2</v>
      </c>
      <c r="P25" s="58" t="n">
        <v>19</v>
      </c>
      <c r="Q25" s="58" t="n">
        <v>59.7</v>
      </c>
      <c r="R25" s="58" t="n">
        <v>20.8</v>
      </c>
      <c r="S25" s="58" t="n">
        <v>17.8</v>
      </c>
      <c r="T25" s="58" t="n">
        <v>40.1</v>
      </c>
      <c r="U25" s="58" t="n">
        <v>39.4</v>
      </c>
      <c r="V25" s="58" t="n">
        <v>78.90000000000001</v>
      </c>
      <c r="W25" s="58" t="n">
        <v>11.8</v>
      </c>
      <c r="X25" s="58" t="n">
        <v>62.9</v>
      </c>
      <c r="Y25" s="58" t="n">
        <v>23.8</v>
      </c>
      <c r="Z25" s="58" t="n">
        <v>46.9</v>
      </c>
      <c r="AA25" s="58" t="n">
        <v>27.2</v>
      </c>
      <c r="AB25" s="58" t="n">
        <v>34.3</v>
      </c>
      <c r="AC25" s="58" t="n">
        <v>225.4</v>
      </c>
      <c r="AD25" s="58" t="n">
        <v>67.90000000000001</v>
      </c>
      <c r="AE25" s="58" t="n">
        <v>6.9</v>
      </c>
      <c r="AF25" s="58" t="n">
        <v>17.2</v>
      </c>
      <c r="AG25" s="58" t="n">
        <v>322.6</v>
      </c>
      <c r="AH25" s="58" t="n">
        <v>178.4</v>
      </c>
      <c r="AI25" s="58" t="n">
        <v>129.5</v>
      </c>
      <c r="AJ25" s="58" t="n">
        <v>153.7</v>
      </c>
      <c r="AK25" s="58" t="n">
        <v>19.9</v>
      </c>
      <c r="AL25" s="58" t="n">
        <v>87</v>
      </c>
    </row>
    <row r="26" ht="11" customHeight="1">
      <c r="B26" s="57" t="n">
        <v>18</v>
      </c>
      <c r="C26" s="58" t="n">
        <v>67.3</v>
      </c>
      <c r="D26" s="58" t="n">
        <v>9.800000000000001</v>
      </c>
      <c r="E26" s="58" t="n">
        <v>49.6</v>
      </c>
      <c r="F26" s="58" t="n">
        <v>44.5</v>
      </c>
      <c r="G26" s="58" t="n">
        <v>123</v>
      </c>
      <c r="H26" s="58" t="n">
        <v>27.8</v>
      </c>
      <c r="I26" s="58" t="n">
        <v>63.4</v>
      </c>
      <c r="J26" s="58" t="n">
        <v>7.5</v>
      </c>
      <c r="K26" s="58" t="n">
        <v>87.7</v>
      </c>
      <c r="L26" s="58" t="n">
        <v>38.7</v>
      </c>
      <c r="M26" s="58" t="n">
        <v>680.4</v>
      </c>
      <c r="N26" s="58" t="n">
        <v>42.9</v>
      </c>
      <c r="O26" s="58" t="n">
        <v>56</v>
      </c>
      <c r="P26" s="58" t="n">
        <v>26.6</v>
      </c>
      <c r="Q26" s="58" t="n">
        <v>90.90000000000001</v>
      </c>
      <c r="R26" s="58" t="n">
        <v>3</v>
      </c>
      <c r="S26" s="58" t="n">
        <v>35.9</v>
      </c>
      <c r="T26" s="58" t="n">
        <v>34.5</v>
      </c>
      <c r="U26" s="58" t="n">
        <v>108.6</v>
      </c>
      <c r="V26" s="58" t="n">
        <v>14</v>
      </c>
      <c r="W26" s="58" t="n">
        <v>23.9</v>
      </c>
      <c r="X26" s="58" t="n">
        <v>33.9</v>
      </c>
      <c r="Y26" s="58" t="n">
        <v>20.6</v>
      </c>
      <c r="Z26" s="58" t="n">
        <v>50.1</v>
      </c>
      <c r="AA26" s="58" t="n">
        <v>30.4</v>
      </c>
      <c r="AB26" s="58" t="n">
        <v>50.3</v>
      </c>
      <c r="AC26" s="58" t="n">
        <v>196.4</v>
      </c>
      <c r="AD26" s="58" t="n">
        <v>82.3</v>
      </c>
      <c r="AE26" s="58" t="n">
        <v>20.4</v>
      </c>
      <c r="AF26" s="58" t="n">
        <v>15.6</v>
      </c>
      <c r="AG26" s="58" t="n">
        <v>202</v>
      </c>
      <c r="AH26" s="58" t="n">
        <v>253.7</v>
      </c>
      <c r="AI26" s="58" t="n">
        <v>84.3</v>
      </c>
      <c r="AJ26" s="58" t="n">
        <v>186.6</v>
      </c>
      <c r="AK26" s="58" t="n">
        <v>4</v>
      </c>
      <c r="AL26" s="58" t="n">
        <v>57.4</v>
      </c>
    </row>
    <row r="27" ht="11" customHeight="1">
      <c r="B27" s="57" t="n">
        <v>19</v>
      </c>
      <c r="C27" s="58" t="n">
        <v>40.9</v>
      </c>
      <c r="D27" s="58" t="n">
        <v>34.6</v>
      </c>
      <c r="E27" s="58" t="n">
        <v>26.4</v>
      </c>
      <c r="F27" s="58" t="n">
        <v>64.8</v>
      </c>
      <c r="G27" s="58" t="n">
        <v>106.2</v>
      </c>
      <c r="H27" s="58" t="n">
        <v>174.3</v>
      </c>
      <c r="I27" s="58" t="n">
        <v>47.6</v>
      </c>
      <c r="J27" s="58" t="n">
        <v>11.5</v>
      </c>
      <c r="K27" s="58" t="n">
        <v>174.1</v>
      </c>
      <c r="L27" s="58" t="n">
        <v>12.6</v>
      </c>
      <c r="M27" s="58" t="n">
        <v>56.5</v>
      </c>
      <c r="N27" s="58" t="n">
        <v>189.8</v>
      </c>
      <c r="O27" s="58" t="n">
        <v>106.4</v>
      </c>
      <c r="P27" s="58" t="n">
        <v>31.5</v>
      </c>
      <c r="Q27" s="58" t="n">
        <v>23.7</v>
      </c>
      <c r="R27" s="58" t="n">
        <v>2.2</v>
      </c>
      <c r="S27" s="58" t="n">
        <v>27.1</v>
      </c>
      <c r="T27" s="58" t="n">
        <v>81.2</v>
      </c>
      <c r="U27" s="58" t="n">
        <v>51</v>
      </c>
      <c r="V27" s="58" t="n">
        <v>7.2</v>
      </c>
      <c r="W27" s="58" t="n">
        <v>30</v>
      </c>
      <c r="X27" s="58" t="n">
        <v>39.5</v>
      </c>
      <c r="Y27" s="58" t="n">
        <v>43.8</v>
      </c>
      <c r="Z27" s="58" t="n">
        <v>41</v>
      </c>
      <c r="AA27" s="58" t="n">
        <v>75.3</v>
      </c>
      <c r="AB27" s="58" t="n">
        <v>92.7</v>
      </c>
      <c r="AC27" s="58" t="n">
        <v>12.3</v>
      </c>
      <c r="AD27" s="58" t="n">
        <v>53.5</v>
      </c>
      <c r="AE27" s="58" t="n">
        <v>16.8</v>
      </c>
      <c r="AF27" s="58" t="n">
        <v>13.2</v>
      </c>
      <c r="AG27" s="58" t="n">
        <v>73.2</v>
      </c>
      <c r="AH27" s="58" t="n">
        <v>304.9</v>
      </c>
      <c r="AI27" s="58" t="n">
        <v>100.7</v>
      </c>
      <c r="AJ27" s="58" t="n">
        <v>116.2</v>
      </c>
      <c r="AK27" s="58" t="n">
        <v>4.8</v>
      </c>
      <c r="AL27" s="58" t="n">
        <v>37.9</v>
      </c>
    </row>
    <row r="28" ht="11" customHeight="1">
      <c r="B28" s="57" t="n">
        <v>20</v>
      </c>
      <c r="C28" s="58" t="n">
        <v>30.9</v>
      </c>
      <c r="D28" s="58" t="n">
        <v>17.5</v>
      </c>
      <c r="E28" s="58" t="n">
        <v>88.5</v>
      </c>
      <c r="F28" s="58" t="n">
        <v>96.09999999999999</v>
      </c>
      <c r="G28" s="58" t="n">
        <v>62</v>
      </c>
      <c r="H28" s="58" t="n">
        <v>166.4</v>
      </c>
      <c r="I28" s="58" t="n">
        <v>16.5</v>
      </c>
      <c r="J28" s="58" t="n">
        <v>17.6</v>
      </c>
      <c r="K28" s="58" t="n">
        <v>113.4</v>
      </c>
      <c r="L28" s="58" t="n">
        <v>12.6</v>
      </c>
      <c r="M28" s="58" t="n">
        <v>13.3</v>
      </c>
      <c r="N28" s="58" t="n">
        <v>30</v>
      </c>
      <c r="O28" s="58" t="n">
        <v>101.6</v>
      </c>
      <c r="P28" s="58" t="n">
        <v>21.9</v>
      </c>
      <c r="Q28" s="58" t="n">
        <v>61.3</v>
      </c>
      <c r="R28" s="58" t="n">
        <v>9.9</v>
      </c>
      <c r="S28" s="58" t="n">
        <v>15.2</v>
      </c>
      <c r="T28" s="58" t="n">
        <v>40.1</v>
      </c>
      <c r="U28" s="58" t="n">
        <v>47.1</v>
      </c>
      <c r="V28" s="58" t="n">
        <v>10.4</v>
      </c>
      <c r="W28" s="58" t="n">
        <v>45.2</v>
      </c>
      <c r="X28" s="58" t="n">
        <v>45.9</v>
      </c>
      <c r="Y28" s="58" t="n">
        <v>35.9</v>
      </c>
      <c r="Z28" s="58" t="n">
        <v>25</v>
      </c>
      <c r="AA28" s="58" t="n">
        <v>96.7</v>
      </c>
      <c r="AB28" s="58" t="n">
        <v>52.7</v>
      </c>
      <c r="AC28" s="58" t="n">
        <v>13.1</v>
      </c>
      <c r="AD28" s="58" t="n">
        <v>41.5</v>
      </c>
      <c r="AE28" s="58" t="n">
        <v>35.2</v>
      </c>
      <c r="AF28" s="58" t="n">
        <v>23.4</v>
      </c>
      <c r="AG28" s="58" t="n">
        <v>153.1</v>
      </c>
      <c r="AH28" s="58" t="n">
        <v>402.5</v>
      </c>
      <c r="AI28" s="58" t="n">
        <v>65.5</v>
      </c>
      <c r="AJ28" s="58" t="n">
        <v>153.2</v>
      </c>
      <c r="AK28" s="58" t="n">
        <v>4.4</v>
      </c>
      <c r="AL28" s="58" t="n">
        <v>8.4</v>
      </c>
    </row>
    <row r="31">
      <c r="B31" s="7" t="inlineStr">
        <is>
          <t>Mumbai DC pick intensity - Optimized layout (rows: bay, columns: aisle; dispatch at top-left)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</row>
    <row r="32">
      <c r="B32" s="55" t="inlineStr">
        <is>
          <t>Bay \ Aisle</t>
        </is>
      </c>
      <c r="C32" s="56" t="n">
        <v>1</v>
      </c>
      <c r="D32" s="56" t="n">
        <v>2</v>
      </c>
      <c r="E32" s="56" t="n">
        <v>3</v>
      </c>
      <c r="F32" s="56" t="n">
        <v>4</v>
      </c>
      <c r="G32" s="56" t="n">
        <v>5</v>
      </c>
      <c r="H32" s="56" t="n">
        <v>6</v>
      </c>
      <c r="I32" s="56" t="n">
        <v>7</v>
      </c>
      <c r="J32" s="56" t="n">
        <v>8</v>
      </c>
      <c r="K32" s="56" t="n">
        <v>9</v>
      </c>
      <c r="L32" s="56" t="n">
        <v>10</v>
      </c>
      <c r="M32" s="56" t="n">
        <v>11</v>
      </c>
      <c r="N32" s="56" t="n">
        <v>12</v>
      </c>
      <c r="O32" s="56" t="n">
        <v>13</v>
      </c>
      <c r="P32" s="56" t="n">
        <v>14</v>
      </c>
      <c r="Q32" s="56" t="n">
        <v>15</v>
      </c>
      <c r="R32" s="56" t="n">
        <v>16</v>
      </c>
      <c r="S32" s="56" t="n">
        <v>17</v>
      </c>
      <c r="T32" s="56" t="n">
        <v>18</v>
      </c>
      <c r="U32" s="56" t="n">
        <v>19</v>
      </c>
      <c r="V32" s="56" t="n">
        <v>20</v>
      </c>
      <c r="W32" s="56" t="n">
        <v>21</v>
      </c>
      <c r="X32" s="56" t="n">
        <v>22</v>
      </c>
      <c r="Y32" s="56" t="n">
        <v>23</v>
      </c>
      <c r="Z32" s="56" t="n">
        <v>24</v>
      </c>
      <c r="AA32" s="56" t="n">
        <v>25</v>
      </c>
      <c r="AB32" s="56" t="n">
        <v>26</v>
      </c>
      <c r="AC32" s="56" t="n">
        <v>27</v>
      </c>
      <c r="AD32" s="56" t="n">
        <v>28</v>
      </c>
      <c r="AE32" s="56" t="n">
        <v>29</v>
      </c>
      <c r="AF32" s="56" t="n">
        <v>30</v>
      </c>
      <c r="AG32" s="56" t="n">
        <v>31</v>
      </c>
      <c r="AH32" s="56" t="n">
        <v>32</v>
      </c>
      <c r="AI32" s="56" t="n">
        <v>33</v>
      </c>
      <c r="AJ32" s="56" t="n">
        <v>34</v>
      </c>
      <c r="AK32" s="56" t="n">
        <v>35</v>
      </c>
      <c r="AL32" s="56" t="n">
        <v>36</v>
      </c>
    </row>
    <row r="33" ht="11" customHeight="1">
      <c r="B33" s="57" t="n">
        <v>1</v>
      </c>
      <c r="C33" s="58" t="n">
        <v>6311.4</v>
      </c>
      <c r="D33" s="58" t="n">
        <v>146.5</v>
      </c>
      <c r="E33" s="58" t="n">
        <v>165.8</v>
      </c>
      <c r="F33" s="58" t="n">
        <v>503.7</v>
      </c>
      <c r="G33" s="58" t="n">
        <v>273.2</v>
      </c>
      <c r="H33" s="58" t="n">
        <v>261.7</v>
      </c>
      <c r="I33" s="58" t="n">
        <v>435.8</v>
      </c>
      <c r="J33" s="58" t="n">
        <v>302.9</v>
      </c>
      <c r="K33" s="58" t="n">
        <v>131.9</v>
      </c>
      <c r="L33" s="58" t="n">
        <v>144.9</v>
      </c>
      <c r="M33" s="58" t="n">
        <v>166.9</v>
      </c>
      <c r="N33" s="58" t="n">
        <v>83.09999999999999</v>
      </c>
      <c r="O33" s="58" t="n">
        <v>79.5</v>
      </c>
      <c r="P33" s="58" t="n">
        <v>70.8</v>
      </c>
      <c r="Q33" s="58" t="n">
        <v>36.4</v>
      </c>
      <c r="R33" s="58" t="n">
        <v>31.3</v>
      </c>
      <c r="S33" s="58" t="n">
        <v>28.9</v>
      </c>
      <c r="T33" s="58" t="n">
        <v>48.6</v>
      </c>
      <c r="U33" s="58" t="n">
        <v>47.8</v>
      </c>
      <c r="V33" s="58" t="n">
        <v>31.3</v>
      </c>
      <c r="W33" s="58" t="n">
        <v>30.9</v>
      </c>
      <c r="X33" s="58" t="n">
        <v>22.4</v>
      </c>
      <c r="Y33" s="58" t="n">
        <v>22.2</v>
      </c>
      <c r="Z33" s="58" t="n">
        <v>17.3</v>
      </c>
      <c r="AA33" s="58" t="n">
        <v>17.1</v>
      </c>
      <c r="AB33" s="58" t="n">
        <v>12.8</v>
      </c>
      <c r="AC33" s="58" t="n">
        <v>12.7</v>
      </c>
      <c r="AD33" s="58" t="n">
        <v>10.2</v>
      </c>
      <c r="AE33" s="58" t="n">
        <v>10.2</v>
      </c>
      <c r="AF33" s="58" t="n">
        <v>8.5</v>
      </c>
      <c r="AG33" s="58" t="n">
        <v>8.4</v>
      </c>
      <c r="AH33" s="58" t="n">
        <v>6.4</v>
      </c>
      <c r="AI33" s="58" t="n">
        <v>6.3</v>
      </c>
      <c r="AJ33" s="58" t="n">
        <v>6.1</v>
      </c>
      <c r="AK33" s="58" t="n">
        <v>2.2</v>
      </c>
      <c r="AL33" s="58" t="n">
        <v>0.2</v>
      </c>
    </row>
    <row r="34" ht="11" customHeight="1">
      <c r="B34" s="57" t="n">
        <v>2</v>
      </c>
      <c r="C34" s="58" t="n">
        <v>1566.2</v>
      </c>
      <c r="D34" s="58" t="n">
        <v>252</v>
      </c>
      <c r="E34" s="58" t="n">
        <v>572.3</v>
      </c>
      <c r="F34" s="58" t="n">
        <v>139.4</v>
      </c>
      <c r="G34" s="58" t="n">
        <v>115.6</v>
      </c>
      <c r="H34" s="58" t="n">
        <v>118.7</v>
      </c>
      <c r="I34" s="58" t="n">
        <v>422.1</v>
      </c>
      <c r="J34" s="58" t="n">
        <v>136.3</v>
      </c>
      <c r="K34" s="58" t="n">
        <v>245.7</v>
      </c>
      <c r="L34" s="58" t="n">
        <v>174.5</v>
      </c>
      <c r="M34" s="58" t="n">
        <v>112.4</v>
      </c>
      <c r="N34" s="58" t="n">
        <v>87.2</v>
      </c>
      <c r="O34" s="58" t="n">
        <v>75.8</v>
      </c>
      <c r="P34" s="58" t="n">
        <v>30.5</v>
      </c>
      <c r="Q34" s="58" t="n">
        <v>39.9</v>
      </c>
      <c r="R34" s="58" t="n">
        <v>34.7</v>
      </c>
      <c r="S34" s="58" t="n">
        <v>37.2</v>
      </c>
      <c r="T34" s="58" t="n">
        <v>44.2</v>
      </c>
      <c r="U34" s="58" t="n">
        <v>47</v>
      </c>
      <c r="V34" s="58" t="n">
        <v>31.8</v>
      </c>
      <c r="W34" s="58" t="n">
        <v>30.5</v>
      </c>
      <c r="X34" s="58" t="n">
        <v>22.6</v>
      </c>
      <c r="Y34" s="58" t="n">
        <v>22.2</v>
      </c>
      <c r="Z34" s="58" t="n">
        <v>17.5</v>
      </c>
      <c r="AA34" s="58" t="n">
        <v>17</v>
      </c>
      <c r="AB34" s="58" t="n">
        <v>12.8</v>
      </c>
      <c r="AC34" s="58" t="n">
        <v>12.7</v>
      </c>
      <c r="AD34" s="58" t="n">
        <v>10.3</v>
      </c>
      <c r="AE34" s="58" t="n">
        <v>10.1</v>
      </c>
      <c r="AF34" s="58" t="n">
        <v>8.6</v>
      </c>
      <c r="AG34" s="58" t="n">
        <v>8.199999999999999</v>
      </c>
      <c r="AH34" s="58" t="n">
        <v>6.5</v>
      </c>
      <c r="AI34" s="58" t="n">
        <v>6.2</v>
      </c>
      <c r="AJ34" s="58" t="n">
        <v>2.3</v>
      </c>
      <c r="AK34" s="58" t="n">
        <v>2.2</v>
      </c>
      <c r="AL34" s="58" t="n">
        <v>0.2</v>
      </c>
    </row>
    <row r="35" ht="11" customHeight="1">
      <c r="B35" s="57" t="n">
        <v>3</v>
      </c>
      <c r="C35" s="58" t="n">
        <v>1352</v>
      </c>
      <c r="D35" s="58" t="n">
        <v>218.8</v>
      </c>
      <c r="E35" s="58" t="n">
        <v>472.5</v>
      </c>
      <c r="F35" s="58" t="n">
        <v>505.7</v>
      </c>
      <c r="G35" s="58" t="n">
        <v>431.8</v>
      </c>
      <c r="H35" s="58" t="n">
        <v>219.7</v>
      </c>
      <c r="I35" s="58" t="n">
        <v>189.6</v>
      </c>
      <c r="J35" s="58" t="n">
        <v>260.3</v>
      </c>
      <c r="K35" s="58" t="n">
        <v>113.5</v>
      </c>
      <c r="L35" s="58" t="n">
        <v>170.8</v>
      </c>
      <c r="M35" s="58" t="n">
        <v>137.7</v>
      </c>
      <c r="N35" s="58" t="n">
        <v>91.09999999999999</v>
      </c>
      <c r="O35" s="58" t="n">
        <v>74.40000000000001</v>
      </c>
      <c r="P35" s="58" t="n">
        <v>33.1</v>
      </c>
      <c r="Q35" s="58" t="n">
        <v>29.1</v>
      </c>
      <c r="R35" s="58" t="n">
        <v>36.9</v>
      </c>
      <c r="S35" s="58" t="n">
        <v>37.7</v>
      </c>
      <c r="T35" s="58" t="n">
        <v>44.8</v>
      </c>
      <c r="U35" s="58" t="n">
        <v>46.4</v>
      </c>
      <c r="V35" s="58" t="n">
        <v>32</v>
      </c>
      <c r="W35" s="58" t="n">
        <v>30.1</v>
      </c>
      <c r="X35" s="58" t="n">
        <v>22.8</v>
      </c>
      <c r="Y35" s="58" t="n">
        <v>22</v>
      </c>
      <c r="Z35" s="58" t="n">
        <v>17.6</v>
      </c>
      <c r="AA35" s="58" t="n">
        <v>16.9</v>
      </c>
      <c r="AB35" s="58" t="n">
        <v>13</v>
      </c>
      <c r="AC35" s="58" t="n">
        <v>12.6</v>
      </c>
      <c r="AD35" s="58" t="n">
        <v>10.4</v>
      </c>
      <c r="AE35" s="58" t="n">
        <v>10.1</v>
      </c>
      <c r="AF35" s="58" t="n">
        <v>8.6</v>
      </c>
      <c r="AG35" s="58" t="n">
        <v>8</v>
      </c>
      <c r="AH35" s="58" t="n">
        <v>6.6</v>
      </c>
      <c r="AI35" s="58" t="n">
        <v>6.1</v>
      </c>
      <c r="AJ35" s="58" t="n">
        <v>2.4</v>
      </c>
      <c r="AK35" s="58" t="n">
        <v>2.1</v>
      </c>
      <c r="AL35" s="58" t="n">
        <v>0.2</v>
      </c>
    </row>
    <row r="36" ht="11" customHeight="1">
      <c r="B36" s="57" t="n">
        <v>4</v>
      </c>
      <c r="C36" s="58" t="n">
        <v>732.4</v>
      </c>
      <c r="D36" s="58" t="n">
        <v>304</v>
      </c>
      <c r="E36" s="58" t="n">
        <v>223.9</v>
      </c>
      <c r="F36" s="58" t="n">
        <v>329.1</v>
      </c>
      <c r="G36" s="58" t="n">
        <v>165.6</v>
      </c>
      <c r="H36" s="58" t="n">
        <v>288.1</v>
      </c>
      <c r="I36" s="58" t="n">
        <v>294.8</v>
      </c>
      <c r="J36" s="58" t="n">
        <v>127.8</v>
      </c>
      <c r="K36" s="58" t="n">
        <v>78.40000000000001</v>
      </c>
      <c r="L36" s="58" t="n">
        <v>147.6</v>
      </c>
      <c r="M36" s="58" t="n">
        <v>110.5</v>
      </c>
      <c r="N36" s="58" t="n">
        <v>95.59999999999999</v>
      </c>
      <c r="O36" s="58" t="n">
        <v>73.09999999999999</v>
      </c>
      <c r="P36" s="58" t="n">
        <v>40.8</v>
      </c>
      <c r="Q36" s="58" t="n">
        <v>36</v>
      </c>
      <c r="R36" s="58" t="n">
        <v>34.3</v>
      </c>
      <c r="S36" s="58" t="n">
        <v>32.1</v>
      </c>
      <c r="T36" s="58" t="n">
        <v>51</v>
      </c>
      <c r="U36" s="58" t="n">
        <v>45.6</v>
      </c>
      <c r="V36" s="58" t="n">
        <v>32.3</v>
      </c>
      <c r="W36" s="58" t="n">
        <v>29.8</v>
      </c>
      <c r="X36" s="58" t="n">
        <v>23</v>
      </c>
      <c r="Y36" s="58" t="n">
        <v>21.8</v>
      </c>
      <c r="Z36" s="58" t="n">
        <v>17.8</v>
      </c>
      <c r="AA36" s="58" t="n">
        <v>16.7</v>
      </c>
      <c r="AB36" s="58" t="n">
        <v>13</v>
      </c>
      <c r="AC36" s="58" t="n">
        <v>12.4</v>
      </c>
      <c r="AD36" s="58" t="n">
        <v>10.5</v>
      </c>
      <c r="AE36" s="58" t="n">
        <v>10</v>
      </c>
      <c r="AF36" s="58" t="n">
        <v>8.6</v>
      </c>
      <c r="AG36" s="58" t="n">
        <v>7.9</v>
      </c>
      <c r="AH36" s="58" t="n">
        <v>6.8</v>
      </c>
      <c r="AI36" s="58" t="n">
        <v>6.1</v>
      </c>
      <c r="AJ36" s="58" t="n">
        <v>2.4</v>
      </c>
      <c r="AK36" s="58" t="n">
        <v>2.1</v>
      </c>
      <c r="AL36" s="58" t="n">
        <v>0.2</v>
      </c>
    </row>
    <row r="37" ht="11" customHeight="1">
      <c r="B37" s="57" t="n">
        <v>5</v>
      </c>
      <c r="C37" s="58" t="n">
        <v>462.3</v>
      </c>
      <c r="D37" s="58" t="n">
        <v>438.4</v>
      </c>
      <c r="E37" s="58" t="n">
        <v>223.8</v>
      </c>
      <c r="F37" s="58" t="n">
        <v>119.9</v>
      </c>
      <c r="G37" s="58" t="n">
        <v>120.4</v>
      </c>
      <c r="H37" s="58" t="n">
        <v>293.8</v>
      </c>
      <c r="I37" s="58" t="n">
        <v>148.7</v>
      </c>
      <c r="J37" s="58" t="n">
        <v>269.9</v>
      </c>
      <c r="K37" s="58" t="n">
        <v>269.7</v>
      </c>
      <c r="L37" s="58" t="n">
        <v>160.4</v>
      </c>
      <c r="M37" s="58" t="n">
        <v>126.3</v>
      </c>
      <c r="N37" s="58" t="n">
        <v>103.2</v>
      </c>
      <c r="O37" s="58" t="n">
        <v>44.4</v>
      </c>
      <c r="P37" s="58" t="n">
        <v>46.5</v>
      </c>
      <c r="Q37" s="58" t="n">
        <v>35</v>
      </c>
      <c r="R37" s="58" t="n">
        <v>28.7</v>
      </c>
      <c r="S37" s="58" t="n">
        <v>29.1</v>
      </c>
      <c r="T37" s="58" t="n">
        <v>51.6</v>
      </c>
      <c r="U37" s="58" t="n">
        <v>42.3</v>
      </c>
      <c r="V37" s="58" t="n">
        <v>32.5</v>
      </c>
      <c r="W37" s="58" t="n">
        <v>29.5</v>
      </c>
      <c r="X37" s="58" t="n">
        <v>23.1</v>
      </c>
      <c r="Y37" s="58" t="n">
        <v>21.6</v>
      </c>
      <c r="Z37" s="58" t="n">
        <v>17.9</v>
      </c>
      <c r="AA37" s="58" t="n">
        <v>16.5</v>
      </c>
      <c r="AB37" s="58" t="n">
        <v>13.1</v>
      </c>
      <c r="AC37" s="58" t="n">
        <v>12.4</v>
      </c>
      <c r="AD37" s="58" t="n">
        <v>10.5</v>
      </c>
      <c r="AE37" s="58" t="n">
        <v>10</v>
      </c>
      <c r="AF37" s="58" t="n">
        <v>8.800000000000001</v>
      </c>
      <c r="AG37" s="58" t="n">
        <v>7.7</v>
      </c>
      <c r="AH37" s="58" t="n">
        <v>6.8</v>
      </c>
      <c r="AI37" s="58" t="n">
        <v>4.1</v>
      </c>
      <c r="AJ37" s="58" t="n">
        <v>2.5</v>
      </c>
      <c r="AK37" s="58" t="n">
        <v>2.1</v>
      </c>
      <c r="AL37" s="58" t="n">
        <v>0.3</v>
      </c>
    </row>
    <row r="38" ht="11" customHeight="1">
      <c r="B38" s="57" t="n">
        <v>6</v>
      </c>
      <c r="C38" s="58" t="n">
        <v>136.5</v>
      </c>
      <c r="D38" s="58" t="n">
        <v>860.7</v>
      </c>
      <c r="E38" s="58" t="n">
        <v>129.7</v>
      </c>
      <c r="F38" s="58" t="n">
        <v>271.3</v>
      </c>
      <c r="G38" s="58" t="n">
        <v>211.9</v>
      </c>
      <c r="H38" s="58" t="n">
        <v>357.3</v>
      </c>
      <c r="I38" s="58" t="n">
        <v>90.3</v>
      </c>
      <c r="J38" s="58" t="n">
        <v>114.6</v>
      </c>
      <c r="K38" s="58" t="n">
        <v>89.09999999999999</v>
      </c>
      <c r="L38" s="58" t="n">
        <v>113.5</v>
      </c>
      <c r="M38" s="58" t="n">
        <v>124.1</v>
      </c>
      <c r="N38" s="58" t="n">
        <v>115.7</v>
      </c>
      <c r="O38" s="58" t="n">
        <v>41.1</v>
      </c>
      <c r="P38" s="58" t="n">
        <v>33.2</v>
      </c>
      <c r="Q38" s="58" t="n">
        <v>40.9</v>
      </c>
      <c r="R38" s="58" t="n">
        <v>32.7</v>
      </c>
      <c r="S38" s="58" t="n">
        <v>31.4</v>
      </c>
      <c r="T38" s="58" t="n">
        <v>43.6</v>
      </c>
      <c r="U38" s="58" t="n">
        <v>44.5</v>
      </c>
      <c r="V38" s="58" t="n">
        <v>32.6</v>
      </c>
      <c r="W38" s="58" t="n">
        <v>29.3</v>
      </c>
      <c r="X38" s="58" t="n">
        <v>23.4</v>
      </c>
      <c r="Y38" s="58" t="n">
        <v>21.5</v>
      </c>
      <c r="Z38" s="58" t="n">
        <v>18.1</v>
      </c>
      <c r="AA38" s="58" t="n">
        <v>16.5</v>
      </c>
      <c r="AB38" s="58" t="n">
        <v>13.2</v>
      </c>
      <c r="AC38" s="58" t="n">
        <v>12.3</v>
      </c>
      <c r="AD38" s="58" t="n">
        <v>10.6</v>
      </c>
      <c r="AE38" s="58" t="n">
        <v>9.9</v>
      </c>
      <c r="AF38" s="58" t="n">
        <v>8.9</v>
      </c>
      <c r="AG38" s="58" t="n">
        <v>7.6</v>
      </c>
      <c r="AH38" s="58" t="n">
        <v>7</v>
      </c>
      <c r="AI38" s="58" t="n">
        <v>3.9</v>
      </c>
      <c r="AJ38" s="58" t="n">
        <v>2.5</v>
      </c>
      <c r="AK38" s="58" t="n">
        <v>2</v>
      </c>
      <c r="AL38" s="58" t="n">
        <v>0.4</v>
      </c>
    </row>
    <row r="39" ht="11" customHeight="1">
      <c r="B39" s="57" t="n">
        <v>7</v>
      </c>
      <c r="C39" s="58" t="n">
        <v>157.3</v>
      </c>
      <c r="D39" s="58" t="n">
        <v>110.1</v>
      </c>
      <c r="E39" s="58" t="n">
        <v>201.9</v>
      </c>
      <c r="F39" s="58" t="n">
        <v>417.6</v>
      </c>
      <c r="G39" s="58" t="n">
        <v>469.3</v>
      </c>
      <c r="H39" s="58" t="n">
        <v>187.2</v>
      </c>
      <c r="I39" s="58" t="n">
        <v>306.9</v>
      </c>
      <c r="J39" s="58" t="n">
        <v>168</v>
      </c>
      <c r="K39" s="58" t="n">
        <v>253.3</v>
      </c>
      <c r="L39" s="58" t="n">
        <v>173.9</v>
      </c>
      <c r="M39" s="58" t="n">
        <v>99</v>
      </c>
      <c r="N39" s="58" t="n">
        <v>41.1</v>
      </c>
      <c r="O39" s="58" t="n">
        <v>32.7</v>
      </c>
      <c r="P39" s="58" t="n">
        <v>43.4</v>
      </c>
      <c r="Q39" s="58" t="n">
        <v>38.1</v>
      </c>
      <c r="R39" s="58" t="n">
        <v>23</v>
      </c>
      <c r="S39" s="58" t="n">
        <v>35</v>
      </c>
      <c r="T39" s="58" t="n">
        <v>53.6</v>
      </c>
      <c r="U39" s="58" t="n">
        <v>43.8</v>
      </c>
      <c r="V39" s="58" t="n">
        <v>32.7</v>
      </c>
      <c r="W39" s="58" t="n">
        <v>29.2</v>
      </c>
      <c r="X39" s="58" t="n">
        <v>23.7</v>
      </c>
      <c r="Y39" s="58" t="n">
        <v>21.4</v>
      </c>
      <c r="Z39" s="58" t="n">
        <v>18.2</v>
      </c>
      <c r="AA39" s="58" t="n">
        <v>16.3</v>
      </c>
      <c r="AB39" s="58" t="n">
        <v>13.3</v>
      </c>
      <c r="AC39" s="58" t="n">
        <v>12.3</v>
      </c>
      <c r="AD39" s="58" t="n">
        <v>10.6</v>
      </c>
      <c r="AE39" s="58" t="n">
        <v>9.9</v>
      </c>
      <c r="AF39" s="58" t="n">
        <v>9</v>
      </c>
      <c r="AG39" s="58" t="n">
        <v>7.5</v>
      </c>
      <c r="AH39" s="58" t="n">
        <v>4.1</v>
      </c>
      <c r="AI39" s="58" t="n">
        <v>3.8</v>
      </c>
      <c r="AJ39" s="58" t="n">
        <v>2.6</v>
      </c>
      <c r="AK39" s="58" t="n">
        <v>2</v>
      </c>
      <c r="AL39" s="58" t="n">
        <v>0.6</v>
      </c>
    </row>
    <row r="40" ht="11" customHeight="1">
      <c r="B40" s="57" t="n">
        <v>8</v>
      </c>
      <c r="C40" s="58" t="n">
        <v>100</v>
      </c>
      <c r="D40" s="58" t="n">
        <v>108</v>
      </c>
      <c r="E40" s="58" t="n">
        <v>109.8</v>
      </c>
      <c r="F40" s="58" t="n">
        <v>222.3</v>
      </c>
      <c r="G40" s="58" t="n">
        <v>148.5</v>
      </c>
      <c r="H40" s="58" t="n">
        <v>551.3</v>
      </c>
      <c r="I40" s="58" t="n">
        <v>155.6</v>
      </c>
      <c r="J40" s="58" t="n">
        <v>112.1</v>
      </c>
      <c r="K40" s="58" t="n">
        <v>115.7</v>
      </c>
      <c r="L40" s="58" t="n">
        <v>208.6</v>
      </c>
      <c r="M40" s="58" t="n">
        <v>117.7</v>
      </c>
      <c r="N40" s="58" t="n">
        <v>51.2</v>
      </c>
      <c r="O40" s="58" t="n">
        <v>46.4</v>
      </c>
      <c r="P40" s="58" t="n">
        <v>41.1</v>
      </c>
      <c r="Q40" s="58" t="n">
        <v>34.7</v>
      </c>
      <c r="R40" s="58" t="n">
        <v>34.1</v>
      </c>
      <c r="S40" s="58" t="n">
        <v>27.3</v>
      </c>
      <c r="T40" s="58" t="n">
        <v>56.1</v>
      </c>
      <c r="U40" s="58" t="n">
        <v>43.1</v>
      </c>
      <c r="V40" s="58" t="n">
        <v>33.1</v>
      </c>
      <c r="W40" s="58" t="n">
        <v>29</v>
      </c>
      <c r="X40" s="58" t="n">
        <v>23.9</v>
      </c>
      <c r="Y40" s="58" t="n">
        <v>21.2</v>
      </c>
      <c r="Z40" s="58" t="n">
        <v>18.3</v>
      </c>
      <c r="AA40" s="58" t="n">
        <v>16.2</v>
      </c>
      <c r="AB40" s="58" t="n">
        <v>13.3</v>
      </c>
      <c r="AC40" s="58" t="n">
        <v>12.2</v>
      </c>
      <c r="AD40" s="58" t="n">
        <v>10.7</v>
      </c>
      <c r="AE40" s="58" t="n">
        <v>9.9</v>
      </c>
      <c r="AF40" s="58" t="n">
        <v>9.1</v>
      </c>
      <c r="AG40" s="58" t="n">
        <v>7.3</v>
      </c>
      <c r="AH40" s="58" t="n">
        <v>4.2</v>
      </c>
      <c r="AI40" s="58" t="n">
        <v>3.8</v>
      </c>
      <c r="AJ40" s="58" t="n">
        <v>2.6</v>
      </c>
      <c r="AK40" s="58" t="n">
        <v>1.9</v>
      </c>
      <c r="AL40" s="58" t="n">
        <v>0.7</v>
      </c>
    </row>
    <row r="41" ht="11" customHeight="1">
      <c r="B41" s="57" t="n">
        <v>9</v>
      </c>
      <c r="C41" s="58" t="n">
        <v>1212.4</v>
      </c>
      <c r="D41" s="58" t="n">
        <v>122.3</v>
      </c>
      <c r="E41" s="58" t="n">
        <v>84.90000000000001</v>
      </c>
      <c r="F41" s="58" t="n">
        <v>690.7</v>
      </c>
      <c r="G41" s="58" t="n">
        <v>509.2</v>
      </c>
      <c r="H41" s="58" t="n">
        <v>113.1</v>
      </c>
      <c r="I41" s="58" t="n">
        <v>91.3</v>
      </c>
      <c r="J41" s="58" t="n">
        <v>242.7</v>
      </c>
      <c r="K41" s="58" t="n">
        <v>231.3</v>
      </c>
      <c r="L41" s="58" t="n">
        <v>191.9</v>
      </c>
      <c r="M41" s="58" t="n">
        <v>91.5</v>
      </c>
      <c r="N41" s="58" t="n">
        <v>36.9</v>
      </c>
      <c r="O41" s="58" t="n">
        <v>40</v>
      </c>
      <c r="P41" s="58" t="n">
        <v>39.9</v>
      </c>
      <c r="Q41" s="58" t="n">
        <v>32.7</v>
      </c>
      <c r="R41" s="58" t="n">
        <v>36.4</v>
      </c>
      <c r="S41" s="58" t="n">
        <v>31.8</v>
      </c>
      <c r="T41" s="58" t="n">
        <v>48.2</v>
      </c>
      <c r="U41" s="58" t="n">
        <v>42.5</v>
      </c>
      <c r="V41" s="58" t="n">
        <v>33.4</v>
      </c>
      <c r="W41" s="58" t="n">
        <v>28.9</v>
      </c>
      <c r="X41" s="58" t="n">
        <v>24</v>
      </c>
      <c r="Y41" s="58" t="n">
        <v>21.1</v>
      </c>
      <c r="Z41" s="58" t="n">
        <v>18.5</v>
      </c>
      <c r="AA41" s="58" t="n">
        <v>16</v>
      </c>
      <c r="AB41" s="58" t="n">
        <v>13.4</v>
      </c>
      <c r="AC41" s="58" t="n">
        <v>12.2</v>
      </c>
      <c r="AD41" s="58" t="n">
        <v>10.8</v>
      </c>
      <c r="AE41" s="58" t="n">
        <v>9.9</v>
      </c>
      <c r="AF41" s="58" t="n">
        <v>9.1</v>
      </c>
      <c r="AG41" s="58" t="n">
        <v>7.2</v>
      </c>
      <c r="AH41" s="58" t="n">
        <v>4.2</v>
      </c>
      <c r="AI41" s="58" t="n">
        <v>3.8</v>
      </c>
      <c r="AJ41" s="58" t="n">
        <v>2.6</v>
      </c>
      <c r="AK41" s="58" t="n">
        <v>1.9</v>
      </c>
      <c r="AL41" s="58" t="n">
        <v>0.8</v>
      </c>
    </row>
    <row r="42" ht="11" customHeight="1">
      <c r="B42" s="57" t="n">
        <v>10</v>
      </c>
      <c r="C42" s="58" t="n">
        <v>852.8</v>
      </c>
      <c r="D42" s="58" t="n">
        <v>176.5</v>
      </c>
      <c r="E42" s="58" t="n">
        <v>844.9</v>
      </c>
      <c r="F42" s="58" t="n">
        <v>100.4</v>
      </c>
      <c r="G42" s="58" t="n">
        <v>209.4</v>
      </c>
      <c r="H42" s="58" t="n">
        <v>192.6</v>
      </c>
      <c r="I42" s="58" t="n">
        <v>394</v>
      </c>
      <c r="J42" s="58" t="n">
        <v>98.7</v>
      </c>
      <c r="K42" s="58" t="n">
        <v>109.5</v>
      </c>
      <c r="L42" s="58" t="n">
        <v>148</v>
      </c>
      <c r="M42" s="58" t="n">
        <v>38.9</v>
      </c>
      <c r="N42" s="58" t="n">
        <v>38.4</v>
      </c>
      <c r="O42" s="58" t="n">
        <v>54.5</v>
      </c>
      <c r="P42" s="58" t="n">
        <v>46.2</v>
      </c>
      <c r="Q42" s="58" t="n">
        <v>41.8</v>
      </c>
      <c r="R42" s="58" t="n">
        <v>39.9</v>
      </c>
      <c r="S42" s="58" t="n">
        <v>33.3</v>
      </c>
      <c r="T42" s="58" t="n">
        <v>48.4</v>
      </c>
      <c r="U42" s="58" t="n">
        <v>41.5</v>
      </c>
      <c r="V42" s="58" t="n">
        <v>33.6</v>
      </c>
      <c r="W42" s="58" t="n">
        <v>28.6</v>
      </c>
      <c r="X42" s="58" t="n">
        <v>24.2</v>
      </c>
      <c r="Y42" s="58" t="n">
        <v>21</v>
      </c>
      <c r="Z42" s="58" t="n">
        <v>18.6</v>
      </c>
      <c r="AA42" s="58" t="n">
        <v>15.9</v>
      </c>
      <c r="AB42" s="58" t="n">
        <v>13.4</v>
      </c>
      <c r="AC42" s="58" t="n">
        <v>12.1</v>
      </c>
      <c r="AD42" s="58" t="n">
        <v>10.8</v>
      </c>
      <c r="AE42" s="58" t="n">
        <v>9.699999999999999</v>
      </c>
      <c r="AF42" s="58" t="n">
        <v>9.300000000000001</v>
      </c>
      <c r="AG42" s="58" t="n">
        <v>4.2</v>
      </c>
      <c r="AH42" s="58" t="n">
        <v>3.4</v>
      </c>
      <c r="AI42" s="58" t="n">
        <v>3.7</v>
      </c>
      <c r="AJ42" s="58" t="n">
        <v>2.6</v>
      </c>
      <c r="AK42" s="58" t="n">
        <v>1.9</v>
      </c>
      <c r="AL42" s="58" t="n">
        <v>0.8</v>
      </c>
    </row>
    <row r="43" ht="11" customHeight="1">
      <c r="B43" s="57" t="n">
        <v>11</v>
      </c>
      <c r="C43" s="58" t="n">
        <v>442.7</v>
      </c>
      <c r="D43" s="58" t="n">
        <v>159.6</v>
      </c>
      <c r="E43" s="58" t="n">
        <v>342.6</v>
      </c>
      <c r="F43" s="58" t="n">
        <v>190.3</v>
      </c>
      <c r="G43" s="58" t="n">
        <v>109.2</v>
      </c>
      <c r="H43" s="58" t="n">
        <v>451.8</v>
      </c>
      <c r="I43" s="58" t="n">
        <v>161.1</v>
      </c>
      <c r="J43" s="58" t="n">
        <v>242.6</v>
      </c>
      <c r="K43" s="58" t="n">
        <v>272</v>
      </c>
      <c r="L43" s="58" t="n">
        <v>192.6</v>
      </c>
      <c r="M43" s="58" t="n">
        <v>46.1</v>
      </c>
      <c r="N43" s="58" t="n">
        <v>44.6</v>
      </c>
      <c r="O43" s="58" t="n">
        <v>42.4</v>
      </c>
      <c r="P43" s="58" t="n">
        <v>33</v>
      </c>
      <c r="Q43" s="58" t="n">
        <v>39.2</v>
      </c>
      <c r="R43" s="58" t="n">
        <v>28.4</v>
      </c>
      <c r="S43" s="58" t="n">
        <v>27.2</v>
      </c>
      <c r="T43" s="58" t="n">
        <v>47.7</v>
      </c>
      <c r="U43" s="58" t="n">
        <v>41.2</v>
      </c>
      <c r="V43" s="58" t="n">
        <v>33.7</v>
      </c>
      <c r="W43" s="58" t="n">
        <v>28.3</v>
      </c>
      <c r="X43" s="58" t="n">
        <v>24.4</v>
      </c>
      <c r="Y43" s="58" t="n">
        <v>20.8</v>
      </c>
      <c r="Z43" s="58" t="n">
        <v>18.7</v>
      </c>
      <c r="AA43" s="58" t="n">
        <v>15.8</v>
      </c>
      <c r="AB43" s="58" t="n">
        <v>13.5</v>
      </c>
      <c r="AC43" s="58" t="n">
        <v>12.1</v>
      </c>
      <c r="AD43" s="58" t="n">
        <v>10.9</v>
      </c>
      <c r="AE43" s="58" t="n">
        <v>9.6</v>
      </c>
      <c r="AF43" s="58" t="n">
        <v>9.300000000000001</v>
      </c>
      <c r="AG43" s="58" t="n">
        <v>4.1</v>
      </c>
      <c r="AH43" s="58" t="n">
        <v>2.6</v>
      </c>
      <c r="AI43" s="58" t="n">
        <v>3.7</v>
      </c>
      <c r="AJ43" s="58" t="n">
        <v>2.7</v>
      </c>
      <c r="AK43" s="58" t="n">
        <v>1.9</v>
      </c>
      <c r="AL43" s="58" t="n">
        <v>0.9</v>
      </c>
    </row>
    <row r="44" ht="11" customHeight="1">
      <c r="B44" s="57" t="n">
        <v>12</v>
      </c>
      <c r="C44" s="58" t="n">
        <v>303.7</v>
      </c>
      <c r="D44" s="58" t="n">
        <v>271</v>
      </c>
      <c r="E44" s="58" t="n">
        <v>192.4</v>
      </c>
      <c r="F44" s="58" t="n">
        <v>609.6</v>
      </c>
      <c r="G44" s="58" t="n">
        <v>514.7</v>
      </c>
      <c r="H44" s="58" t="n">
        <v>84.8</v>
      </c>
      <c r="I44" s="58" t="n">
        <v>89</v>
      </c>
      <c r="J44" s="58" t="n">
        <v>109.3</v>
      </c>
      <c r="K44" s="58" t="n">
        <v>168.1</v>
      </c>
      <c r="L44" s="58" t="n">
        <v>38.4</v>
      </c>
      <c r="M44" s="58" t="n">
        <v>58.9</v>
      </c>
      <c r="N44" s="58" t="n">
        <v>46.9</v>
      </c>
      <c r="O44" s="58" t="n">
        <v>47.3</v>
      </c>
      <c r="P44" s="58" t="n">
        <v>45</v>
      </c>
      <c r="Q44" s="58" t="n">
        <v>35.1</v>
      </c>
      <c r="R44" s="58" t="n">
        <v>31.7</v>
      </c>
      <c r="S44" s="58" t="n">
        <v>28.9</v>
      </c>
      <c r="T44" s="58" t="n">
        <v>57.9</v>
      </c>
      <c r="U44" s="58" t="n">
        <v>41</v>
      </c>
      <c r="V44" s="58" t="n">
        <v>34.2</v>
      </c>
      <c r="W44" s="58" t="n">
        <v>28.1</v>
      </c>
      <c r="X44" s="58" t="n">
        <v>24.5</v>
      </c>
      <c r="Y44" s="58" t="n">
        <v>20.6</v>
      </c>
      <c r="Z44" s="58" t="n">
        <v>18.8</v>
      </c>
      <c r="AA44" s="58" t="n">
        <v>15.7</v>
      </c>
      <c r="AB44" s="58" t="n">
        <v>13.6</v>
      </c>
      <c r="AC44" s="58" t="n">
        <v>11.9</v>
      </c>
      <c r="AD44" s="58" t="n">
        <v>11</v>
      </c>
      <c r="AE44" s="58" t="n">
        <v>9.5</v>
      </c>
      <c r="AF44" s="58" t="n">
        <v>4.3</v>
      </c>
      <c r="AG44" s="58" t="n">
        <v>4.1</v>
      </c>
      <c r="AH44" s="58" t="n">
        <v>2.7</v>
      </c>
      <c r="AI44" s="58" t="n">
        <v>3.7</v>
      </c>
      <c r="AJ44" s="58" t="n">
        <v>2.8</v>
      </c>
      <c r="AK44" s="58" t="n">
        <v>1.9</v>
      </c>
      <c r="AL44" s="58" t="n">
        <v>0.9</v>
      </c>
    </row>
    <row r="45" ht="11" customHeight="1">
      <c r="B45" s="57" t="n">
        <v>13</v>
      </c>
      <c r="C45" s="58" t="n">
        <v>241.1</v>
      </c>
      <c r="D45" s="58" t="n">
        <v>292</v>
      </c>
      <c r="E45" s="58" t="n">
        <v>182.3</v>
      </c>
      <c r="F45" s="58" t="n">
        <v>151.9</v>
      </c>
      <c r="G45" s="58" t="n">
        <v>235</v>
      </c>
      <c r="H45" s="58" t="n">
        <v>136.2</v>
      </c>
      <c r="I45" s="58" t="n">
        <v>371.2</v>
      </c>
      <c r="J45" s="58" t="n">
        <v>202.9</v>
      </c>
      <c r="K45" s="58" t="n">
        <v>193</v>
      </c>
      <c r="L45" s="58" t="n">
        <v>46.9</v>
      </c>
      <c r="M45" s="58" t="n">
        <v>55.5</v>
      </c>
      <c r="N45" s="58" t="n">
        <v>38.8</v>
      </c>
      <c r="O45" s="58" t="n">
        <v>40.4</v>
      </c>
      <c r="P45" s="58" t="n">
        <v>30.5</v>
      </c>
      <c r="Q45" s="58" t="n">
        <v>33.4</v>
      </c>
      <c r="R45" s="58" t="n">
        <v>33</v>
      </c>
      <c r="S45" s="58" t="n">
        <v>27.2</v>
      </c>
      <c r="T45" s="58" t="n">
        <v>63.4</v>
      </c>
      <c r="U45" s="58" t="n">
        <v>40.6</v>
      </c>
      <c r="V45" s="58" t="n">
        <v>34.5</v>
      </c>
      <c r="W45" s="58" t="n">
        <v>27.8</v>
      </c>
      <c r="X45" s="58" t="n">
        <v>24.6</v>
      </c>
      <c r="Y45" s="58" t="n">
        <v>20.4</v>
      </c>
      <c r="Z45" s="58" t="n">
        <v>18.8</v>
      </c>
      <c r="AA45" s="58" t="n">
        <v>15.6</v>
      </c>
      <c r="AB45" s="58" t="n">
        <v>13.6</v>
      </c>
      <c r="AC45" s="58" t="n">
        <v>11.8</v>
      </c>
      <c r="AD45" s="58" t="n">
        <v>11.1</v>
      </c>
      <c r="AE45" s="58" t="n">
        <v>9.4</v>
      </c>
      <c r="AF45" s="58" t="n">
        <v>4.4</v>
      </c>
      <c r="AG45" s="58" t="n">
        <v>4</v>
      </c>
      <c r="AH45" s="58" t="n">
        <v>2.8</v>
      </c>
      <c r="AI45" s="58" t="n">
        <v>3.6</v>
      </c>
      <c r="AJ45" s="58" t="n">
        <v>2.8</v>
      </c>
      <c r="AK45" s="58" t="n">
        <v>1.9</v>
      </c>
      <c r="AL45" s="58" t="n">
        <v>1</v>
      </c>
    </row>
    <row r="46" ht="11" customHeight="1">
      <c r="B46" s="57" t="n">
        <v>14</v>
      </c>
      <c r="C46" s="58" t="n">
        <v>1123.5</v>
      </c>
      <c r="D46" s="58" t="n">
        <v>255.8</v>
      </c>
      <c r="E46" s="58" t="n">
        <v>126.9</v>
      </c>
      <c r="F46" s="58" t="n">
        <v>189.8</v>
      </c>
      <c r="G46" s="58" t="n">
        <v>111</v>
      </c>
      <c r="H46" s="58" t="n">
        <v>231.9</v>
      </c>
      <c r="I46" s="58" t="n">
        <v>126.9</v>
      </c>
      <c r="J46" s="58" t="n">
        <v>216.8</v>
      </c>
      <c r="K46" s="58" t="n">
        <v>264.9</v>
      </c>
      <c r="L46" s="58" t="n">
        <v>45.1</v>
      </c>
      <c r="M46" s="58" t="n">
        <v>49.9</v>
      </c>
      <c r="N46" s="58" t="n">
        <v>47.7</v>
      </c>
      <c r="O46" s="58" t="n">
        <v>44.4</v>
      </c>
      <c r="P46" s="58" t="n">
        <v>41.3</v>
      </c>
      <c r="Q46" s="58" t="n">
        <v>38.8</v>
      </c>
      <c r="R46" s="58" t="n">
        <v>35.2</v>
      </c>
      <c r="S46" s="58" t="n">
        <v>29.5</v>
      </c>
      <c r="T46" s="58" t="n">
        <v>64.90000000000001</v>
      </c>
      <c r="U46" s="58" t="n">
        <v>40.1</v>
      </c>
      <c r="V46" s="58" t="n">
        <v>34.7</v>
      </c>
      <c r="W46" s="58" t="n">
        <v>27.4</v>
      </c>
      <c r="X46" s="58" t="n">
        <v>24.7</v>
      </c>
      <c r="Y46" s="58" t="n">
        <v>20.4</v>
      </c>
      <c r="Z46" s="58" t="n">
        <v>18.9</v>
      </c>
      <c r="AA46" s="58" t="n">
        <v>15.3</v>
      </c>
      <c r="AB46" s="58" t="n">
        <v>13.7</v>
      </c>
      <c r="AC46" s="58" t="n">
        <v>11.8</v>
      </c>
      <c r="AD46" s="58" t="n">
        <v>11.2</v>
      </c>
      <c r="AE46" s="58" t="n">
        <v>9.4</v>
      </c>
      <c r="AF46" s="58" t="n">
        <v>4.4</v>
      </c>
      <c r="AG46" s="58" t="n">
        <v>3.9</v>
      </c>
      <c r="AH46" s="58" t="n">
        <v>2.9</v>
      </c>
      <c r="AI46" s="58" t="n">
        <v>3.6</v>
      </c>
      <c r="AJ46" s="58" t="n">
        <v>2.8</v>
      </c>
      <c r="AK46" s="58" t="n">
        <v>1.7</v>
      </c>
      <c r="AL46" s="58" t="n">
        <v>1.1</v>
      </c>
    </row>
    <row r="47" ht="11" customHeight="1">
      <c r="B47" s="57" t="n">
        <v>15</v>
      </c>
      <c r="C47" s="58" t="n">
        <v>491.7</v>
      </c>
      <c r="D47" s="58" t="n">
        <v>337.6</v>
      </c>
      <c r="E47" s="58" t="n">
        <v>576.5</v>
      </c>
      <c r="F47" s="58" t="n">
        <v>256.4</v>
      </c>
      <c r="G47" s="58" t="n">
        <v>672.2</v>
      </c>
      <c r="H47" s="58" t="n">
        <v>375.7</v>
      </c>
      <c r="I47" s="58" t="n">
        <v>292</v>
      </c>
      <c r="J47" s="58" t="n">
        <v>340.6</v>
      </c>
      <c r="K47" s="58" t="n">
        <v>42.3</v>
      </c>
      <c r="L47" s="58" t="n">
        <v>48.4</v>
      </c>
      <c r="M47" s="58" t="n">
        <v>60</v>
      </c>
      <c r="N47" s="58" t="n">
        <v>55.5</v>
      </c>
      <c r="O47" s="58" t="n">
        <v>38.4</v>
      </c>
      <c r="P47" s="58" t="n">
        <v>37.4</v>
      </c>
      <c r="Q47" s="58" t="n">
        <v>34.4</v>
      </c>
      <c r="R47" s="58" t="n">
        <v>39.4</v>
      </c>
      <c r="S47" s="58" t="n">
        <v>32.6</v>
      </c>
      <c r="T47" s="58" t="n">
        <v>28.7</v>
      </c>
      <c r="U47" s="58" t="n">
        <v>39.6</v>
      </c>
      <c r="V47" s="58" t="n">
        <v>35</v>
      </c>
      <c r="W47" s="58" t="n">
        <v>27.3</v>
      </c>
      <c r="X47" s="58" t="n">
        <v>25</v>
      </c>
      <c r="Y47" s="58" t="n">
        <v>20.3</v>
      </c>
      <c r="Z47" s="58" t="n">
        <v>19</v>
      </c>
      <c r="AA47" s="58" t="n">
        <v>15.2</v>
      </c>
      <c r="AB47" s="58" t="n">
        <v>13.8</v>
      </c>
      <c r="AC47" s="58" t="n">
        <v>11.8</v>
      </c>
      <c r="AD47" s="58" t="n">
        <v>11.3</v>
      </c>
      <c r="AE47" s="58" t="n">
        <v>5.4</v>
      </c>
      <c r="AF47" s="58" t="n">
        <v>4.5</v>
      </c>
      <c r="AG47" s="58" t="n">
        <v>3.8</v>
      </c>
      <c r="AH47" s="58" t="n">
        <v>3</v>
      </c>
      <c r="AI47" s="58" t="n">
        <v>3.4</v>
      </c>
      <c r="AJ47" s="58" t="n">
        <v>2.9</v>
      </c>
      <c r="AK47" s="58" t="n">
        <v>1.6</v>
      </c>
      <c r="AL47" s="58" t="n">
        <v>1.2</v>
      </c>
    </row>
    <row r="48" ht="11" customHeight="1">
      <c r="B48" s="57" t="n">
        <v>16</v>
      </c>
      <c r="C48" s="58" t="n">
        <v>313.8</v>
      </c>
      <c r="D48" s="58" t="n">
        <v>890.1</v>
      </c>
      <c r="E48" s="58" t="n">
        <v>355.6</v>
      </c>
      <c r="F48" s="58" t="n">
        <v>472.4</v>
      </c>
      <c r="G48" s="58" t="n">
        <v>119.2</v>
      </c>
      <c r="H48" s="58" t="n">
        <v>142.8</v>
      </c>
      <c r="I48" s="58" t="n">
        <v>180.6</v>
      </c>
      <c r="J48" s="58" t="n">
        <v>144.9</v>
      </c>
      <c r="K48" s="58" t="n">
        <v>34.7</v>
      </c>
      <c r="L48" s="58" t="n">
        <v>52.5</v>
      </c>
      <c r="M48" s="58" t="n">
        <v>41.3</v>
      </c>
      <c r="N48" s="58" t="n">
        <v>33.5</v>
      </c>
      <c r="O48" s="58" t="n">
        <v>45.6</v>
      </c>
      <c r="P48" s="58" t="n">
        <v>42.7</v>
      </c>
      <c r="Q48" s="58" t="n">
        <v>33.5</v>
      </c>
      <c r="R48" s="58" t="n">
        <v>19.8</v>
      </c>
      <c r="S48" s="58" t="n">
        <v>28.3</v>
      </c>
      <c r="T48" s="58" t="n">
        <v>40.3</v>
      </c>
      <c r="U48" s="58" t="n">
        <v>38.8</v>
      </c>
      <c r="V48" s="58" t="n">
        <v>35.3</v>
      </c>
      <c r="W48" s="58" t="n">
        <v>27.1</v>
      </c>
      <c r="X48" s="58" t="n">
        <v>25.2</v>
      </c>
      <c r="Y48" s="58" t="n">
        <v>20.2</v>
      </c>
      <c r="Z48" s="58" t="n">
        <v>19.2</v>
      </c>
      <c r="AA48" s="58" t="n">
        <v>15.1</v>
      </c>
      <c r="AB48" s="58" t="n">
        <v>14</v>
      </c>
      <c r="AC48" s="58" t="n">
        <v>11.7</v>
      </c>
      <c r="AD48" s="58" t="n">
        <v>11.4</v>
      </c>
      <c r="AE48" s="58" t="n">
        <v>5.3</v>
      </c>
      <c r="AF48" s="58" t="n">
        <v>4.6</v>
      </c>
      <c r="AG48" s="58" t="n">
        <v>3.8</v>
      </c>
      <c r="AH48" s="58" t="n">
        <v>3.1</v>
      </c>
      <c r="AI48" s="58" t="n">
        <v>3.4</v>
      </c>
      <c r="AJ48" s="58" t="n">
        <v>2.9</v>
      </c>
      <c r="AK48" s="58" t="n">
        <v>1.6</v>
      </c>
      <c r="AL48" s="58" t="n">
        <v>1.2</v>
      </c>
    </row>
    <row r="49" ht="11" customHeight="1">
      <c r="B49" s="57" t="n">
        <v>17</v>
      </c>
      <c r="C49" s="58" t="n">
        <v>363.6</v>
      </c>
      <c r="D49" s="58" t="n">
        <v>176.4</v>
      </c>
      <c r="E49" s="58" t="n">
        <v>196.6</v>
      </c>
      <c r="F49" s="58" t="n">
        <v>249.4</v>
      </c>
      <c r="G49" s="58" t="n">
        <v>331.9</v>
      </c>
      <c r="H49" s="58" t="n">
        <v>606.4</v>
      </c>
      <c r="I49" s="58" t="n">
        <v>113.5</v>
      </c>
      <c r="J49" s="58" t="n">
        <v>45.3</v>
      </c>
      <c r="K49" s="58" t="n">
        <v>34.2</v>
      </c>
      <c r="L49" s="58" t="n">
        <v>36.5</v>
      </c>
      <c r="M49" s="58" t="n">
        <v>49.4</v>
      </c>
      <c r="N49" s="58" t="n">
        <v>50.4</v>
      </c>
      <c r="O49" s="58" t="n">
        <v>34.8</v>
      </c>
      <c r="P49" s="58" t="n">
        <v>35.1</v>
      </c>
      <c r="Q49" s="58" t="n">
        <v>40.3</v>
      </c>
      <c r="R49" s="58" t="n">
        <v>28.8</v>
      </c>
      <c r="S49" s="58" t="n">
        <v>29.6</v>
      </c>
      <c r="T49" s="58" t="n">
        <v>41.4</v>
      </c>
      <c r="U49" s="58" t="n">
        <v>38.3</v>
      </c>
      <c r="V49" s="58" t="n">
        <v>35.7</v>
      </c>
      <c r="W49" s="58" t="n">
        <v>26.9</v>
      </c>
      <c r="X49" s="58" t="n">
        <v>25.4</v>
      </c>
      <c r="Y49" s="58" t="n">
        <v>20.2</v>
      </c>
      <c r="Z49" s="58" t="n">
        <v>19.2</v>
      </c>
      <c r="AA49" s="58" t="n">
        <v>15</v>
      </c>
      <c r="AB49" s="58" t="n">
        <v>14.1</v>
      </c>
      <c r="AC49" s="58" t="n">
        <v>11.7</v>
      </c>
      <c r="AD49" s="58" t="n">
        <v>5.5</v>
      </c>
      <c r="AE49" s="58" t="n">
        <v>5.2</v>
      </c>
      <c r="AF49" s="58" t="n">
        <v>4.7</v>
      </c>
      <c r="AG49" s="58" t="n">
        <v>3.7</v>
      </c>
      <c r="AH49" s="58" t="n">
        <v>3.2</v>
      </c>
      <c r="AI49" s="58" t="n">
        <v>3.3</v>
      </c>
      <c r="AJ49" s="58" t="n">
        <v>3</v>
      </c>
      <c r="AK49" s="58" t="n">
        <v>1.5</v>
      </c>
      <c r="AL49" s="58" t="n">
        <v>1.3</v>
      </c>
    </row>
    <row r="50" ht="11" customHeight="1">
      <c r="B50" s="57" t="n">
        <v>18</v>
      </c>
      <c r="C50" s="58" t="n">
        <v>179.7</v>
      </c>
      <c r="D50" s="58" t="n">
        <v>128.3</v>
      </c>
      <c r="E50" s="58" t="n">
        <v>174.3</v>
      </c>
      <c r="F50" s="58" t="n">
        <v>169.2</v>
      </c>
      <c r="G50" s="58" t="n">
        <v>147.1</v>
      </c>
      <c r="H50" s="58" t="n">
        <v>98.8</v>
      </c>
      <c r="I50" s="58" t="n">
        <v>338.1</v>
      </c>
      <c r="J50" s="58" t="n">
        <v>44.1</v>
      </c>
      <c r="K50" s="58" t="n">
        <v>55.7</v>
      </c>
      <c r="L50" s="58" t="n">
        <v>37.1</v>
      </c>
      <c r="M50" s="58" t="n">
        <v>43.8</v>
      </c>
      <c r="N50" s="58" t="n">
        <v>48.3</v>
      </c>
      <c r="O50" s="58" t="n">
        <v>31.6</v>
      </c>
      <c r="P50" s="58" t="n">
        <v>43.9</v>
      </c>
      <c r="Q50" s="58" t="n">
        <v>27.2</v>
      </c>
      <c r="R50" s="58" t="n">
        <v>30.8</v>
      </c>
      <c r="S50" s="58" t="n">
        <v>28.9</v>
      </c>
      <c r="T50" s="58" t="n">
        <v>21.8</v>
      </c>
      <c r="U50" s="58" t="n">
        <v>37.8</v>
      </c>
      <c r="V50" s="58" t="n">
        <v>34.3</v>
      </c>
      <c r="W50" s="58" t="n">
        <v>26.7</v>
      </c>
      <c r="X50" s="58" t="n">
        <v>25.7</v>
      </c>
      <c r="Y50" s="58" t="n">
        <v>19.9</v>
      </c>
      <c r="Z50" s="58" t="n">
        <v>19.3</v>
      </c>
      <c r="AA50" s="58" t="n">
        <v>14.9</v>
      </c>
      <c r="AB50" s="58" t="n">
        <v>14.2</v>
      </c>
      <c r="AC50" s="58" t="n">
        <v>11.6</v>
      </c>
      <c r="AD50" s="58" t="n">
        <v>5.6</v>
      </c>
      <c r="AE50" s="58" t="n">
        <v>5.1</v>
      </c>
      <c r="AF50" s="58" t="n">
        <v>4.7</v>
      </c>
      <c r="AG50" s="58" t="n">
        <v>3.7</v>
      </c>
      <c r="AH50" s="58" t="n">
        <v>3.2</v>
      </c>
      <c r="AI50" s="58" t="n">
        <v>3.2</v>
      </c>
      <c r="AJ50" s="58" t="n">
        <v>3.1</v>
      </c>
      <c r="AK50" s="58" t="n">
        <v>1.5</v>
      </c>
      <c r="AL50" s="58" t="n">
        <v>1.3</v>
      </c>
    </row>
    <row r="51" ht="11" customHeight="1">
      <c r="B51" s="57" t="n">
        <v>19</v>
      </c>
      <c r="C51" s="58" t="n">
        <v>215.6</v>
      </c>
      <c r="D51" s="58" t="n">
        <v>122.3</v>
      </c>
      <c r="E51" s="58" t="n">
        <v>121.3</v>
      </c>
      <c r="F51" s="58" t="n">
        <v>224.7</v>
      </c>
      <c r="G51" s="58" t="n">
        <v>103.6</v>
      </c>
      <c r="H51" s="58" t="n">
        <v>169.2</v>
      </c>
      <c r="I51" s="58" t="n">
        <v>129.8</v>
      </c>
      <c r="J51" s="58" t="n">
        <v>50</v>
      </c>
      <c r="K51" s="58" t="n">
        <v>56.2</v>
      </c>
      <c r="L51" s="58" t="n">
        <v>39.1</v>
      </c>
      <c r="M51" s="58" t="n">
        <v>35.1</v>
      </c>
      <c r="N51" s="58" t="n">
        <v>39.8</v>
      </c>
      <c r="O51" s="58" t="n">
        <v>41.1</v>
      </c>
      <c r="P51" s="58" t="n">
        <v>39.4</v>
      </c>
      <c r="Q51" s="58" t="n">
        <v>29.5</v>
      </c>
      <c r="R51" s="58" t="n">
        <v>37</v>
      </c>
      <c r="S51" s="58" t="n">
        <v>26.8</v>
      </c>
      <c r="T51" s="58" t="n">
        <v>24.4</v>
      </c>
      <c r="U51" s="58" t="n">
        <v>37.3</v>
      </c>
      <c r="V51" s="58" t="n">
        <v>36.3</v>
      </c>
      <c r="W51" s="58" t="n">
        <v>26.5</v>
      </c>
      <c r="X51" s="58" t="n">
        <v>26</v>
      </c>
      <c r="Y51" s="58" t="n">
        <v>19.8</v>
      </c>
      <c r="Z51" s="58" t="n">
        <v>19.5</v>
      </c>
      <c r="AA51" s="58" t="n">
        <v>14.8</v>
      </c>
      <c r="AB51" s="58" t="n">
        <v>14.3</v>
      </c>
      <c r="AC51" s="58" t="n">
        <v>11.5</v>
      </c>
      <c r="AD51" s="58" t="n">
        <v>5.6</v>
      </c>
      <c r="AE51" s="58" t="n">
        <v>5</v>
      </c>
      <c r="AF51" s="58" t="n">
        <v>4.8</v>
      </c>
      <c r="AG51" s="58" t="n">
        <v>3.6</v>
      </c>
      <c r="AH51" s="58" t="n">
        <v>3.3</v>
      </c>
      <c r="AI51" s="58" t="n">
        <v>3.2</v>
      </c>
      <c r="AJ51" s="58" t="n">
        <v>3.1</v>
      </c>
      <c r="AK51" s="58" t="n">
        <v>1.5</v>
      </c>
      <c r="AL51" s="58" t="n">
        <v>1.4</v>
      </c>
    </row>
    <row r="52" ht="11" customHeight="1">
      <c r="B52" s="57" t="n">
        <v>20</v>
      </c>
      <c r="C52" s="58" t="n">
        <v>229.1</v>
      </c>
      <c r="D52" s="58" t="n">
        <v>111.1</v>
      </c>
      <c r="E52" s="58" t="n">
        <v>575.9</v>
      </c>
      <c r="F52" s="58" t="n">
        <v>312</v>
      </c>
      <c r="G52" s="58" t="n">
        <v>79.2</v>
      </c>
      <c r="H52" s="58" t="n">
        <v>432.3</v>
      </c>
      <c r="I52" s="58" t="n">
        <v>63.9</v>
      </c>
      <c r="J52" s="58" t="n">
        <v>49.7</v>
      </c>
      <c r="K52" s="58" t="n">
        <v>50.6</v>
      </c>
      <c r="L52" s="58" t="n">
        <v>49.6</v>
      </c>
      <c r="M52" s="58" t="n">
        <v>46.5</v>
      </c>
      <c r="N52" s="58" t="n">
        <v>49.6</v>
      </c>
      <c r="O52" s="58" t="n">
        <v>29.9</v>
      </c>
      <c r="P52" s="58" t="n">
        <v>43.8</v>
      </c>
      <c r="Q52" s="58" t="n">
        <v>31.4</v>
      </c>
      <c r="R52" s="58" t="n">
        <v>33.3</v>
      </c>
      <c r="S52" s="58" t="n">
        <v>19.2</v>
      </c>
      <c r="T52" s="58" t="n">
        <v>25.6</v>
      </c>
      <c r="U52" s="58" t="n">
        <v>33.3</v>
      </c>
      <c r="V52" s="58" t="n">
        <v>36.6</v>
      </c>
      <c r="W52" s="58" t="n">
        <v>26.4</v>
      </c>
      <c r="X52" s="58" t="n">
        <v>26.2</v>
      </c>
      <c r="Y52" s="58" t="n">
        <v>19.7</v>
      </c>
      <c r="Z52" s="58" t="n">
        <v>19.7</v>
      </c>
      <c r="AA52" s="58" t="n">
        <v>14.5</v>
      </c>
      <c r="AB52" s="58" t="n">
        <v>14.5</v>
      </c>
      <c r="AC52" s="58" t="n">
        <v>6</v>
      </c>
      <c r="AD52" s="58" t="n">
        <v>5.7</v>
      </c>
      <c r="AE52" s="58" t="n">
        <v>4.9</v>
      </c>
      <c r="AF52" s="58" t="n">
        <v>4.8</v>
      </c>
      <c r="AG52" s="58" t="n">
        <v>3.5</v>
      </c>
      <c r="AH52" s="58" t="n">
        <v>3.4</v>
      </c>
      <c r="AI52" s="58" t="n">
        <v>3.1</v>
      </c>
      <c r="AJ52" s="58" t="n">
        <v>3.1</v>
      </c>
      <c r="AK52" s="58" t="n">
        <v>1.4</v>
      </c>
      <c r="AL52" s="58" t="n">
        <v>1.4</v>
      </c>
    </row>
  </sheetData>
  <mergeCells count="9">
    <mergeCell ref="AF5:AO5"/>
    <mergeCell ref="V5:AE5"/>
    <mergeCell ref="B4:K4"/>
    <mergeCell ref="L5:U5"/>
    <mergeCell ref="V4:AE4"/>
    <mergeCell ref="L4:U4"/>
    <mergeCell ref="AF4:AO4"/>
    <mergeCell ref="B1:BB1"/>
    <mergeCell ref="B5:K5"/>
  </mergeCells>
  <conditionalFormatting sqref="C9:AL28">
    <cfRule type="colorScale" priority="1">
      <colorScale>
        <cfvo type="min"/>
        <cfvo type="percentile" val="70"/>
        <cfvo type="max"/>
        <color rgb="00FFFFFF"/>
        <color rgb="00F2C14E"/>
        <color rgb="001F2A44"/>
      </colorScale>
    </cfRule>
  </conditionalFormatting>
  <conditionalFormatting sqref="C33:AL52">
    <cfRule type="colorScale" priority="2">
      <colorScale>
        <cfvo type="min"/>
        <cfvo type="percentile" val="70"/>
        <cfvo type="max"/>
        <color rgb="00FFFFFF"/>
        <color rgb="00F2C14E"/>
        <color rgb="001F2A44"/>
      </colorScale>
    </cfRule>
  </conditionalFormatting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Q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4" customHeight="1">
      <c r="A1" s="1" t="n"/>
      <c r="B1" s="2" t="inlineStr">
        <is>
          <t>Warehouse Performance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B2" s="3" t="inlineStr">
        <is>
          <t>Held-out pick orders · return routing, batches of 3 · labour cost at city wage level</t>
        </is>
      </c>
    </row>
    <row r="4">
      <c r="B4" s="7" t="inlineStr">
        <is>
          <t>Current vs optimized vs perfect-information bound (formulas)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 ht="30" customHeight="1">
      <c r="B5" s="9" t="inlineStr">
        <is>
          <t>City</t>
        </is>
      </c>
      <c r="C5" s="9" t="inlineStr">
        <is>
          <t>Pick lines</t>
        </is>
      </c>
      <c r="D5" s="9" t="inlineStr">
        <is>
          <t>Travel m/line (current)</t>
        </is>
      </c>
      <c r="E5" s="9" t="inlineStr">
        <is>
          <t>Travel m/line (optimized)</t>
        </is>
      </c>
      <c r="F5" s="9" t="inlineStr">
        <is>
          <t>Travel m/line (bound)</t>
        </is>
      </c>
      <c r="G5" s="9" t="inlineStr">
        <is>
          <t>Travel reduction</t>
        </is>
      </c>
      <c r="H5" s="9" t="inlineStr">
        <is>
          <t>Picks/h (current)</t>
        </is>
      </c>
      <c r="I5" s="9" t="inlineStr">
        <is>
          <t>Picks/h (optimized)</t>
        </is>
      </c>
      <c r="J5" s="9" t="inlineStr">
        <is>
          <t>Picks/h (bound)</t>
        </is>
      </c>
      <c r="K5" s="9" t="inlineStr">
        <is>
          <t>Throughput gain</t>
        </is>
      </c>
      <c r="L5" s="9" t="inlineStr">
        <is>
          <t>₹/1,000 picks (current)</t>
        </is>
      </c>
      <c r="M5" s="9" t="inlineStr">
        <is>
          <t>₹/1,000 picks (optimized)</t>
        </is>
      </c>
      <c r="N5" s="9" t="inlineStr">
        <is>
          <t>Labour saving</t>
        </is>
      </c>
      <c r="O5" s="9" t="inlineStr">
        <is>
          <t>Heavy violations (current)</t>
        </is>
      </c>
      <c r="P5" s="9" t="inlineStr">
        <is>
          <t>Heavy violations (optimized)</t>
        </is>
      </c>
      <c r="Q5" s="9" t="inlineStr">
        <is>
          <t>Bound captured</t>
        </is>
      </c>
    </row>
    <row r="6">
      <c r="B6" s="10" t="inlineStr">
        <is>
          <t>Mumbai MMR</t>
        </is>
      </c>
      <c r="C6" s="13" t="n">
        <v>34385</v>
      </c>
      <c r="D6" s="11" t="n">
        <v>35.35</v>
      </c>
      <c r="E6" s="11" t="n">
        <v>25.85</v>
      </c>
      <c r="F6" s="11" t="n">
        <v>25.68</v>
      </c>
      <c r="G6" s="15">
        <f>1-E6/D6</f>
        <v/>
      </c>
      <c r="H6" s="12" t="n">
        <v>62.5</v>
      </c>
      <c r="I6" s="12" t="n">
        <v>77.40000000000001</v>
      </c>
      <c r="J6" s="12" t="n">
        <v>77.7</v>
      </c>
      <c r="K6" s="15">
        <f>I6/H6-1</f>
        <v/>
      </c>
      <c r="L6" s="30" t="n">
        <v>2958.1</v>
      </c>
      <c r="M6" s="30" t="n">
        <v>2390.5</v>
      </c>
      <c r="N6" s="15">
        <f>1-M6/L6</f>
        <v/>
      </c>
      <c r="O6" s="10" t="n">
        <v>615</v>
      </c>
      <c r="P6" s="10" t="n">
        <v>0</v>
      </c>
      <c r="Q6" s="15">
        <f>(D6-E6)/(D6-F6)</f>
        <v/>
      </c>
    </row>
    <row r="7">
      <c r="B7" s="16" t="inlineStr">
        <is>
          <t>Delhi NCR</t>
        </is>
      </c>
      <c r="C7" s="19" t="n">
        <v>36416</v>
      </c>
      <c r="D7" s="17" t="n">
        <v>35.24</v>
      </c>
      <c r="E7" s="17" t="n">
        <v>25.57</v>
      </c>
      <c r="F7" s="17" t="n">
        <v>25.66</v>
      </c>
      <c r="G7" s="21">
        <f>1-E7/D7</f>
        <v/>
      </c>
      <c r="H7" s="18" t="n">
        <v>62.6</v>
      </c>
      <c r="I7" s="18" t="n">
        <v>77.90000000000001</v>
      </c>
      <c r="J7" s="18" t="n">
        <v>78.09999999999999</v>
      </c>
      <c r="K7" s="21">
        <f>I7/H7-1</f>
        <v/>
      </c>
      <c r="L7" s="32" t="n">
        <v>2956.8</v>
      </c>
      <c r="M7" s="32" t="n">
        <v>2373.5</v>
      </c>
      <c r="N7" s="21">
        <f>1-M7/L7</f>
        <v/>
      </c>
      <c r="O7" s="16" t="n">
        <v>615</v>
      </c>
      <c r="P7" s="16" t="n">
        <v>0</v>
      </c>
      <c r="Q7" s="21">
        <f>(D7-E7)/(D7-F7)</f>
        <v/>
      </c>
    </row>
    <row r="8">
      <c r="B8" s="10" t="inlineStr">
        <is>
          <t>Bengaluru</t>
        </is>
      </c>
      <c r="C8" s="13" t="n">
        <v>29702</v>
      </c>
      <c r="D8" s="11" t="n">
        <v>35.76</v>
      </c>
      <c r="E8" s="11" t="n">
        <v>26.58</v>
      </c>
      <c r="F8" s="11" t="n">
        <v>26.06</v>
      </c>
      <c r="G8" s="15">
        <f>1-E8/D8</f>
        <v/>
      </c>
      <c r="H8" s="12" t="n">
        <v>62</v>
      </c>
      <c r="I8" s="12" t="n">
        <v>76.2</v>
      </c>
      <c r="J8" s="12" t="n">
        <v>77.09999999999999</v>
      </c>
      <c r="K8" s="15">
        <f>I8/H8-1</f>
        <v/>
      </c>
      <c r="L8" s="30" t="n">
        <v>3042.5</v>
      </c>
      <c r="M8" s="30" t="n">
        <v>2476.2</v>
      </c>
      <c r="N8" s="15">
        <f>1-M8/L8</f>
        <v/>
      </c>
      <c r="O8" s="10" t="n">
        <v>615</v>
      </c>
      <c r="P8" s="10" t="n">
        <v>0</v>
      </c>
      <c r="Q8" s="15">
        <f>(D8-E8)/(D8-F8)</f>
        <v/>
      </c>
    </row>
    <row r="9">
      <c r="B9" s="16" t="inlineStr">
        <is>
          <t>Chennai</t>
        </is>
      </c>
      <c r="C9" s="19" t="n">
        <v>24209</v>
      </c>
      <c r="D9" s="17" t="n">
        <v>34.7</v>
      </c>
      <c r="E9" s="17" t="n">
        <v>25.85</v>
      </c>
      <c r="F9" s="17" t="n">
        <v>25.36</v>
      </c>
      <c r="G9" s="21">
        <f>1-E9/D9</f>
        <v/>
      </c>
      <c r="H9" s="18" t="n">
        <v>63.3</v>
      </c>
      <c r="I9" s="18" t="n">
        <v>77.5</v>
      </c>
      <c r="J9" s="18" t="n">
        <v>78.40000000000001</v>
      </c>
      <c r="K9" s="21">
        <f>I9/H9-1</f>
        <v/>
      </c>
      <c r="L9" s="32" t="n">
        <v>2690.8</v>
      </c>
      <c r="M9" s="32" t="n">
        <v>2195</v>
      </c>
      <c r="N9" s="21">
        <f>1-M9/L9</f>
        <v/>
      </c>
      <c r="O9" s="16" t="n">
        <v>615</v>
      </c>
      <c r="P9" s="16" t="n">
        <v>0</v>
      </c>
      <c r="Q9" s="21">
        <f>(D9-E9)/(D9-F9)</f>
        <v/>
      </c>
    </row>
    <row r="10">
      <c r="B10" s="10" t="inlineStr">
        <is>
          <t>Kolkata</t>
        </is>
      </c>
      <c r="C10" s="13" t="n">
        <v>20811</v>
      </c>
      <c r="D10" s="11" t="n">
        <v>36.54</v>
      </c>
      <c r="E10" s="11" t="n">
        <v>27.63</v>
      </c>
      <c r="F10" s="11" t="n">
        <v>27.09</v>
      </c>
      <c r="G10" s="15">
        <f>1-E10/D10</f>
        <v/>
      </c>
      <c r="H10" s="12" t="n">
        <v>61</v>
      </c>
      <c r="I10" s="12" t="n">
        <v>74.5</v>
      </c>
      <c r="J10" s="12" t="n">
        <v>75.2</v>
      </c>
      <c r="K10" s="15">
        <f>I10/H10-1</f>
        <v/>
      </c>
      <c r="L10" s="30" t="n">
        <v>2579.6</v>
      </c>
      <c r="M10" s="30" t="n">
        <v>2111.4</v>
      </c>
      <c r="N10" s="15">
        <f>1-M10/L10</f>
        <v/>
      </c>
      <c r="O10" s="10" t="n">
        <v>615</v>
      </c>
      <c r="P10" s="10" t="n">
        <v>0</v>
      </c>
      <c r="Q10" s="15">
        <f>(D10-E10)/(D10-F10)</f>
        <v/>
      </c>
    </row>
    <row r="11">
      <c r="B11" s="37" t="inlineStr">
        <is>
          <t>All cities (line-weighted)</t>
        </is>
      </c>
      <c r="G11" s="59">
        <f>1-SUMPRODUCT(E6:E10,$C$6:$C$10)/SUMPRODUCT(D6:D10,$C$6:$C$10)</f>
        <v/>
      </c>
      <c r="K11" s="59">
        <f>SUMPRODUCT(I6:I10,$C$6:$C$10)/SUMPRODUCT(H6:H10,$C$6:$C$10)-1</f>
        <v/>
      </c>
    </row>
    <row r="30" ht="39" customHeight="1">
      <c r="B30" s="26" t="inlineStr">
        <is>
          <t>Targets: 35% less picker travel and 25-30% more throughput. Measured gains sit within ~1-2 points of the perfect-information bound (same method fed each SKU's long-run demand rate), so the shortfall is a property of this SKU profile and return-routing batch picking, not of the slotting method. Reaching the targets would need a different picking policy (e.g. zone or wave picking with S-shape routing) - outside slotting scope.</t>
        </is>
      </c>
    </row>
    <row r="33">
      <c r="B33" s="7" t="inlineStr">
        <is>
          <t>Share of training picks by zone after slotting</t>
        </is>
      </c>
      <c r="C33" s="8" t="n"/>
      <c r="D33" s="8" t="n"/>
      <c r="E33" s="8" t="n"/>
      <c r="F33" s="8" t="n"/>
      <c r="G33" s="8" t="n"/>
      <c r="J33" s="7" t="inlineStr">
        <is>
          <t>Velocity shrinkage chosen by internal validation (travel m)</t>
        </is>
      </c>
      <c r="K33" s="8" t="n"/>
      <c r="L33" s="8" t="n"/>
      <c r="M33" s="8" t="n"/>
      <c r="N33" s="8" t="n"/>
      <c r="O33" s="8" t="n"/>
      <c r="P33" s="8" t="n"/>
    </row>
    <row r="34">
      <c r="B34" s="22" t="inlineStr">
        <is>
          <t>Zone A holds 20% of slots nearest dispatch; velocity zoning concentrates picks there.</t>
        </is>
      </c>
    </row>
    <row r="35" ht="30" customHeight="1">
      <c r="B35" s="9" t="inlineStr">
        <is>
          <t>City</t>
        </is>
      </c>
      <c r="C35" s="9" t="inlineStr">
        <is>
          <t>Zone A (golden)</t>
        </is>
      </c>
      <c r="D35" s="9" t="inlineStr">
        <is>
          <t>Zone B</t>
        </is>
      </c>
      <c r="E35" s="9" t="inlineStr">
        <is>
          <t>Zone C (bulk)</t>
        </is>
      </c>
      <c r="J35" s="9" t="inlineStr">
        <is>
          <t>Shrinkage k</t>
        </is>
      </c>
      <c r="K35" s="9" t="inlineStr">
        <is>
          <t>Mumbai MMR</t>
        </is>
      </c>
      <c r="L35" s="9" t="inlineStr">
        <is>
          <t>Delhi NCR</t>
        </is>
      </c>
      <c r="M35" s="9" t="inlineStr">
        <is>
          <t>Bengaluru</t>
        </is>
      </c>
      <c r="N35" s="9" t="inlineStr">
        <is>
          <t>Chennai</t>
        </is>
      </c>
      <c r="O35" s="9" t="inlineStr">
        <is>
          <t>Kolkata</t>
        </is>
      </c>
    </row>
    <row r="36">
      <c r="B36" s="10" t="inlineStr">
        <is>
          <t>Mumbai MMR</t>
        </is>
      </c>
      <c r="C36" s="15" t="n">
        <v>0.8368</v>
      </c>
      <c r="D36" s="15" t="n">
        <v>0.1581</v>
      </c>
      <c r="E36" s="15" t="n">
        <v>0.005</v>
      </c>
      <c r="J36" s="10" t="n">
        <v>0</v>
      </c>
      <c r="K36" s="13" t="n">
        <v>461138.2</v>
      </c>
      <c r="L36" s="13" t="n">
        <v>476099</v>
      </c>
      <c r="M36" s="13" t="n">
        <v>391463.6</v>
      </c>
      <c r="N36" s="13" t="n">
        <v>321536.2</v>
      </c>
      <c r="O36" s="13" t="n">
        <v>301049.2</v>
      </c>
    </row>
    <row r="37">
      <c r="B37" s="16" t="inlineStr">
        <is>
          <t>Delhi NCR</t>
        </is>
      </c>
      <c r="C37" s="21" t="n">
        <v>0.8322000000000001</v>
      </c>
      <c r="D37" s="21" t="n">
        <v>0.1628</v>
      </c>
      <c r="E37" s="21" t="n">
        <v>0.005</v>
      </c>
      <c r="J37" s="16" t="n">
        <v>0.25</v>
      </c>
      <c r="K37" s="19" t="n">
        <v>452605.8</v>
      </c>
      <c r="L37" s="19" t="n">
        <v>471973.4</v>
      </c>
      <c r="M37" s="19" t="n">
        <v>385772</v>
      </c>
      <c r="N37" s="19" t="n">
        <v>312536</v>
      </c>
      <c r="O37" s="19" t="n">
        <v>292606.6</v>
      </c>
    </row>
    <row r="38">
      <c r="B38" s="10" t="inlineStr">
        <is>
          <t>Bengaluru</t>
        </is>
      </c>
      <c r="C38" s="15" t="n">
        <v>0.7995</v>
      </c>
      <c r="D38" s="15" t="n">
        <v>0.1926</v>
      </c>
      <c r="E38" s="15" t="n">
        <v>0.007900000000000001</v>
      </c>
      <c r="J38" s="10" t="n">
        <v>0.5</v>
      </c>
      <c r="K38" s="13" t="n">
        <v>456001</v>
      </c>
      <c r="L38" s="13" t="n">
        <v>472216.2</v>
      </c>
      <c r="M38" s="13" t="n">
        <v>385150.2</v>
      </c>
      <c r="N38" s="13" t="n">
        <v>316844.2</v>
      </c>
      <c r="O38" s="13" t="n">
        <v>293492.8</v>
      </c>
    </row>
    <row r="39">
      <c r="B39" s="16" t="inlineStr">
        <is>
          <t>Chennai</t>
        </is>
      </c>
      <c r="C39" s="21" t="n">
        <v>0.8371</v>
      </c>
      <c r="D39" s="21" t="n">
        <v>0.1588</v>
      </c>
      <c r="E39" s="21" t="n">
        <v>0.0041</v>
      </c>
      <c r="J39" s="16" t="n">
        <v>1</v>
      </c>
      <c r="K39" s="19" t="n">
        <v>458802.8</v>
      </c>
      <c r="L39" s="19" t="n">
        <v>475554.6</v>
      </c>
      <c r="M39" s="19" t="n">
        <v>391869.4</v>
      </c>
      <c r="N39" s="19" t="n">
        <v>318358.8</v>
      </c>
      <c r="O39" s="19" t="n">
        <v>292694</v>
      </c>
    </row>
    <row r="40">
      <c r="B40" s="10" t="inlineStr">
        <is>
          <t>Kolkata</t>
        </is>
      </c>
      <c r="C40" s="15" t="n">
        <v>0.8241000000000001</v>
      </c>
      <c r="D40" s="15" t="n">
        <v>0.1715</v>
      </c>
      <c r="E40" s="15" t="n">
        <v>0.0044</v>
      </c>
    </row>
  </sheetData>
  <mergeCells count="2">
    <mergeCell ref="B1:P1"/>
    <mergeCell ref="B30:Q30"/>
  </mergeCells>
  <conditionalFormatting sqref="G6:G10">
    <cfRule type="dataBar" priority="1">
      <dataBar showValue="1">
        <cfvo type="min"/>
        <cfvo type="max"/>
        <color rgb="000E7C86"/>
      </dataBar>
    </cfRule>
  </conditionalFormatting>
  <conditionalFormatting sqref="K6:K10">
    <cfRule type="dataBar" priority="2">
      <dataBar showValue="1">
        <cfvo type="min"/>
        <cfvo type="max"/>
        <color rgb="003C8D5A"/>
      </dataBar>
    </cfRule>
  </conditionalFormatting>
  <conditionalFormatting sqref="Q6:Q10">
    <cfRule type="dataBar" priority="3">
      <dataBar showValue="1">
        <cfvo type="min"/>
        <cfvo type="max"/>
        <color rgb="00E3A21A"/>
      </dataBar>
    </cfRule>
  </conditionalFormatting>
  <conditionalFormatting sqref="K36:K39">
    <cfRule type="colorScale" priority="4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L36:L39">
    <cfRule type="colorScale" priority="5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M36:M39">
    <cfRule type="colorScale" priority="6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N36:N39">
    <cfRule type="colorScale" priority="7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O36:O39">
    <cfRule type="colorScale" priority="8">
      <colorScale>
        <cfvo type="min"/>
        <cfvo type="percentile" val="50"/>
        <cfvo type="max"/>
        <color rgb="00D7EEE0"/>
        <color rgb="00FFF6DD"/>
        <color rgb="00F8D9D6"/>
      </colorScale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S9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4" customHeight="1">
      <c r="A1" s="1" t="n"/>
      <c r="B1" s="2" t="inlineStr">
        <is>
          <t>Simulation Results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8" customHeight="1">
      <c r="B2" s="3" t="inlineStr">
        <is>
          <t>SimPy DC model per city · 200 Monte Carlo replications per scenario · target P95 intake-to-dispatch &lt;= 120 min</t>
        </is>
      </c>
    </row>
    <row r="4">
      <c r="B4" s="7" t="inlineStr">
        <is>
          <t>Pooled P95 cycle time (minutes) by scenario</t>
        </is>
      </c>
      <c r="C4" s="8" t="n"/>
      <c r="D4" s="8" t="n"/>
      <c r="E4" s="8" t="n"/>
      <c r="F4" s="8" t="n"/>
      <c r="G4" s="8" t="n"/>
      <c r="H4" s="8" t="n"/>
    </row>
    <row r="5" ht="30" customHeight="1">
      <c r="B5" s="9" t="inlineStr">
        <is>
          <t>City</t>
        </is>
      </c>
      <c r="C5" s="9" t="inlineStr">
        <is>
          <t>Baseline staffing</t>
        </is>
      </c>
      <c r="D5" s="9" t="inlineStr">
        <is>
          <t>Optimized staffing</t>
        </is>
      </c>
      <c r="E5" s="9" t="inlineStr">
        <is>
          <t>Diwali peak - baseline staffing</t>
        </is>
      </c>
      <c r="F5" s="9" t="inlineStr">
        <is>
          <t>Diwali peak - peak roster</t>
        </is>
      </c>
      <c r="G5" s="9" t="inlineStr">
        <is>
          <t>Target</t>
        </is>
      </c>
    </row>
    <row r="6">
      <c r="B6" s="10" t="inlineStr">
        <is>
          <t>Mumbai MMR</t>
        </is>
      </c>
      <c r="C6" s="12" t="n">
        <v>171.3112324433142</v>
      </c>
      <c r="D6" s="12" t="n">
        <v>98.1918234652729</v>
      </c>
      <c r="E6" s="12" t="n">
        <v>457.9140729407815</v>
      </c>
      <c r="F6" s="12" t="n">
        <v>114.4796021983562</v>
      </c>
      <c r="G6" s="12" t="n">
        <v>120</v>
      </c>
    </row>
    <row r="7">
      <c r="B7" s="16" t="inlineStr">
        <is>
          <t>Delhi NCR</t>
        </is>
      </c>
      <c r="C7" s="18" t="n">
        <v>145.5924636644952</v>
      </c>
      <c r="D7" s="18" t="n">
        <v>88.35081947502493</v>
      </c>
      <c r="E7" s="18" t="n">
        <v>432.5108267210148</v>
      </c>
      <c r="F7" s="18" t="n">
        <v>97.11888713925146</v>
      </c>
      <c r="G7" s="18" t="n">
        <v>120</v>
      </c>
    </row>
    <row r="8">
      <c r="B8" s="10" t="inlineStr">
        <is>
          <t>Bengaluru</t>
        </is>
      </c>
      <c r="C8" s="12" t="n">
        <v>100.6771167762689</v>
      </c>
      <c r="D8" s="12" t="n">
        <v>102.437516612726</v>
      </c>
      <c r="E8" s="12" t="n">
        <v>351.14754237306</v>
      </c>
      <c r="F8" s="12" t="n">
        <v>87.31019606550669</v>
      </c>
      <c r="G8" s="12" t="n">
        <v>120</v>
      </c>
    </row>
    <row r="9">
      <c r="B9" s="16" t="inlineStr">
        <is>
          <t>Chennai</t>
        </is>
      </c>
      <c r="C9" s="18" t="n">
        <v>306.8223898564777</v>
      </c>
      <c r="D9" s="18" t="n">
        <v>88.99440888104228</v>
      </c>
      <c r="E9" s="18" t="n">
        <v>543.3195712930814</v>
      </c>
      <c r="F9" s="18" t="n">
        <v>106.1325994365995</v>
      </c>
      <c r="G9" s="18" t="n">
        <v>120</v>
      </c>
    </row>
    <row r="10">
      <c r="B10" s="10" t="inlineStr">
        <is>
          <t>Kolkata</t>
        </is>
      </c>
      <c r="C10" s="12" t="n">
        <v>164.1040149144674</v>
      </c>
      <c r="D10" s="12" t="n">
        <v>106.231004987432</v>
      </c>
      <c r="E10" s="12" t="n">
        <v>518.9771253790771</v>
      </c>
      <c r="F10" s="12" t="n">
        <v>100.7376092110008</v>
      </c>
      <c r="G10" s="12" t="n">
        <v>120</v>
      </c>
    </row>
    <row r="24">
      <c r="B24" s="7" t="inlineStr">
        <is>
          <t>Scenario detail (P10 / P50 / P90 across replications)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</row>
    <row r="25" ht="30" customHeight="1">
      <c r="B25" s="9" t="inlineStr">
        <is>
          <t>City</t>
        </is>
      </c>
      <c r="C25" s="9" t="inlineStr">
        <is>
          <t>Scenario</t>
        </is>
      </c>
      <c r="D25" s="9" t="inlineStr">
        <is>
          <t>Roster</t>
        </is>
      </c>
      <c r="E25" s="9" t="inlineStr">
        <is>
          <t>Staff ₹/day</t>
        </is>
      </c>
      <c r="F25" s="9" t="inlineStr">
        <is>
          <t>Throughput P10</t>
        </is>
      </c>
      <c r="G25" s="9" t="inlineStr">
        <is>
          <t>Throughput P50</t>
        </is>
      </c>
      <c r="H25" s="9" t="inlineStr">
        <is>
          <t>Throughput P90</t>
        </is>
      </c>
      <c r="I25" s="9" t="inlineStr">
        <is>
          <t>P95 cycle P10</t>
        </is>
      </c>
      <c r="J25" s="9" t="inlineStr">
        <is>
          <t>P95 cycle P50</t>
        </is>
      </c>
      <c r="K25" s="9" t="inlineStr">
        <is>
          <t>P95 cycle P90</t>
        </is>
      </c>
      <c r="L25" s="9" t="inlineStr">
        <is>
          <t>Pooled P95</t>
        </is>
      </c>
      <c r="M25" s="9" t="inlineStr">
        <is>
          <t>SLA share P50</t>
        </is>
      </c>
      <c r="N25" s="9" t="inlineStr">
        <is>
          <t>Backlog P50</t>
        </is>
      </c>
      <c r="O25" s="9" t="inlineStr">
        <is>
          <t>Picker util</t>
        </is>
      </c>
      <c r="P25" s="9" t="inlineStr">
        <is>
          <t>Packer util</t>
        </is>
      </c>
      <c r="Q25" s="9" t="inlineStr">
        <is>
          <t>Loader util</t>
        </is>
      </c>
      <c r="R25" s="9" t="inlineStr">
        <is>
          <t>Bottleneck</t>
        </is>
      </c>
      <c r="S25" s="9" t="inlineStr">
        <is>
          <t>Meets target</t>
        </is>
      </c>
    </row>
    <row r="26">
      <c r="B26" s="10" t="inlineStr">
        <is>
          <t>Mumbai MMR</t>
        </is>
      </c>
      <c r="C26" s="10" t="inlineStr">
        <is>
          <t>Baseline staffing</t>
        </is>
      </c>
      <c r="D26" s="10" t="inlineStr">
        <is>
          <t>5/3/1/2</t>
        </is>
      </c>
      <c r="E26" s="30" t="n">
        <v>32000</v>
      </c>
      <c r="F26" s="13" t="n">
        <v>263</v>
      </c>
      <c r="G26" s="13" t="n">
        <v>281</v>
      </c>
      <c r="H26" s="13" t="n">
        <v>306.1</v>
      </c>
      <c r="I26" s="12" t="n">
        <v>115.3044677237741</v>
      </c>
      <c r="J26" s="12" t="n">
        <v>147.5826314628504</v>
      </c>
      <c r="K26" s="12" t="n">
        <v>183.9535234653692</v>
      </c>
      <c r="L26" s="12" t="n">
        <v>171.3112324433142</v>
      </c>
      <c r="M26" s="15" t="n">
        <v>0.634319785228195</v>
      </c>
      <c r="N26" s="12" t="n">
        <v>0</v>
      </c>
      <c r="O26" s="15" t="n">
        <v>0.4285</v>
      </c>
      <c r="P26" s="15" t="n">
        <v>0.6347</v>
      </c>
      <c r="Q26" s="15" t="n">
        <v>0.5901999999999999</v>
      </c>
      <c r="R26" s="10" t="inlineStr">
        <is>
          <t>packers</t>
        </is>
      </c>
      <c r="S26" s="10" t="inlineStr">
        <is>
          <t>No</t>
        </is>
      </c>
    </row>
    <row r="27">
      <c r="B27" s="16" t="inlineStr">
        <is>
          <t>Mumbai MMR</t>
        </is>
      </c>
      <c r="C27" s="16" t="inlineStr">
        <is>
          <t>Optimized staffing</t>
        </is>
      </c>
      <c r="D27" s="16" t="inlineStr">
        <is>
          <t>5/4/1/3</t>
        </is>
      </c>
      <c r="E27" s="32" t="n">
        <v>37500</v>
      </c>
      <c r="F27" s="19" t="n">
        <v>258</v>
      </c>
      <c r="G27" s="19" t="n">
        <v>283</v>
      </c>
      <c r="H27" s="19" t="n">
        <v>305</v>
      </c>
      <c r="I27" s="18" t="n">
        <v>71.62191754236623</v>
      </c>
      <c r="J27" s="18" t="n">
        <v>86.46729891277431</v>
      </c>
      <c r="K27" s="18" t="n">
        <v>110.906763271702</v>
      </c>
      <c r="L27" s="18" t="n">
        <v>98.1918234652729</v>
      </c>
      <c r="M27" s="21" t="n">
        <v>1</v>
      </c>
      <c r="N27" s="18" t="n">
        <v>0</v>
      </c>
      <c r="O27" s="21" t="n">
        <v>0.4274</v>
      </c>
      <c r="P27" s="21" t="n">
        <v>0.4768</v>
      </c>
      <c r="Q27" s="21" t="n">
        <v>0.3914</v>
      </c>
      <c r="R27" s="16" t="inlineStr">
        <is>
          <t>packers</t>
        </is>
      </c>
      <c r="S27" s="16" t="inlineStr">
        <is>
          <t>Yes</t>
        </is>
      </c>
    </row>
    <row r="28">
      <c r="B28" s="10" t="inlineStr">
        <is>
          <t>Mumbai MMR</t>
        </is>
      </c>
      <c r="C28" s="10" t="inlineStr">
        <is>
          <t>Diwali peak - baseline staffing</t>
        </is>
      </c>
      <c r="D28" s="10" t="inlineStr">
        <is>
          <t>5/3/1/2</t>
        </is>
      </c>
      <c r="E28" s="30" t="n">
        <v>32000</v>
      </c>
      <c r="F28" s="13" t="n">
        <v>370</v>
      </c>
      <c r="G28" s="13" t="n">
        <v>379</v>
      </c>
      <c r="H28" s="13" t="n">
        <v>390</v>
      </c>
      <c r="I28" s="12" t="n">
        <v>419.6274786795551</v>
      </c>
      <c r="J28" s="12" t="n">
        <v>450.6639712820275</v>
      </c>
      <c r="K28" s="12" t="n">
        <v>483.6543396952429</v>
      </c>
      <c r="L28" s="12" t="n">
        <v>457.9140729407815</v>
      </c>
      <c r="M28" s="15" t="n">
        <v>0.1606054896049243</v>
      </c>
      <c r="N28" s="12" t="n">
        <v>176</v>
      </c>
      <c r="O28" s="15" t="n">
        <v>0.7257</v>
      </c>
      <c r="P28" s="15" t="n">
        <v>0.8386</v>
      </c>
      <c r="Q28" s="15" t="n">
        <v>0.7907</v>
      </c>
      <c r="R28" s="10" t="inlineStr">
        <is>
          <t>packers</t>
        </is>
      </c>
      <c r="S28" s="10" t="inlineStr">
        <is>
          <t>No</t>
        </is>
      </c>
    </row>
    <row r="29">
      <c r="B29" s="16" t="inlineStr">
        <is>
          <t>Mumbai MMR</t>
        </is>
      </c>
      <c r="C29" s="16" t="inlineStr">
        <is>
          <t>Diwali peak - peak roster</t>
        </is>
      </c>
      <c r="D29" s="16" t="inlineStr">
        <is>
          <t>7/7/1/5</t>
        </is>
      </c>
      <c r="E29" s="32" t="n">
        <v>57220</v>
      </c>
      <c r="F29" s="19" t="n">
        <v>525.9</v>
      </c>
      <c r="G29" s="19" t="n">
        <v>555</v>
      </c>
      <c r="H29" s="19" t="n">
        <v>584</v>
      </c>
      <c r="I29" s="18" t="n">
        <v>84.52968681516523</v>
      </c>
      <c r="J29" s="18" t="n">
        <v>102.136887042986</v>
      </c>
      <c r="K29" s="18" t="n">
        <v>125.9058825046566</v>
      </c>
      <c r="L29" s="18" t="n">
        <v>114.4796021983562</v>
      </c>
      <c r="M29" s="21" t="n">
        <v>0.9924242424242424</v>
      </c>
      <c r="N29" s="18" t="n">
        <v>0</v>
      </c>
      <c r="O29" s="21" t="n">
        <v>0.5254</v>
      </c>
      <c r="P29" s="21" t="n">
        <v>0.5228</v>
      </c>
      <c r="Q29" s="21" t="n">
        <v>0.4627</v>
      </c>
      <c r="R29" s="16" t="inlineStr">
        <is>
          <t>pickers</t>
        </is>
      </c>
      <c r="S29" s="16" t="inlineStr">
        <is>
          <t>Yes</t>
        </is>
      </c>
    </row>
    <row r="30">
      <c r="B30" s="10" t="inlineStr">
        <is>
          <t>Delhi NCR</t>
        </is>
      </c>
      <c r="C30" s="10" t="inlineStr">
        <is>
          <t>Baseline staffing</t>
        </is>
      </c>
      <c r="D30" s="10" t="inlineStr">
        <is>
          <t>5/3/1/2</t>
        </is>
      </c>
      <c r="E30" s="30" t="n">
        <v>32000</v>
      </c>
      <c r="F30" s="13" t="n">
        <v>249.9</v>
      </c>
      <c r="G30" s="13" t="n">
        <v>268</v>
      </c>
      <c r="H30" s="13" t="n">
        <v>285.1</v>
      </c>
      <c r="I30" s="12" t="n">
        <v>99.43780791025573</v>
      </c>
      <c r="J30" s="12" t="n">
        <v>130.3345686555249</v>
      </c>
      <c r="K30" s="12" t="n">
        <v>155.1294535076567</v>
      </c>
      <c r="L30" s="12" t="n">
        <v>145.5924636644952</v>
      </c>
      <c r="M30" s="15" t="n">
        <v>0.8824507389162561</v>
      </c>
      <c r="N30" s="12" t="n">
        <v>0</v>
      </c>
      <c r="O30" s="15" t="n">
        <v>0.4115</v>
      </c>
      <c r="P30" s="15" t="n">
        <v>0.6047</v>
      </c>
      <c r="Q30" s="15" t="n">
        <v>0.5593</v>
      </c>
      <c r="R30" s="10" t="inlineStr">
        <is>
          <t>packers</t>
        </is>
      </c>
      <c r="S30" s="10" t="inlineStr">
        <is>
          <t>No</t>
        </is>
      </c>
    </row>
    <row r="31">
      <c r="B31" s="16" t="inlineStr">
        <is>
          <t>Delhi NCR</t>
        </is>
      </c>
      <c r="C31" s="16" t="inlineStr">
        <is>
          <t>Optimized staffing</t>
        </is>
      </c>
      <c r="D31" s="16" t="inlineStr">
        <is>
          <t>5/4/1/3</t>
        </is>
      </c>
      <c r="E31" s="32" t="n">
        <v>37500</v>
      </c>
      <c r="F31" s="19" t="n">
        <v>241</v>
      </c>
      <c r="G31" s="19" t="n">
        <v>267</v>
      </c>
      <c r="H31" s="19" t="n">
        <v>290</v>
      </c>
      <c r="I31" s="18" t="n">
        <v>66.82920369145481</v>
      </c>
      <c r="J31" s="18" t="n">
        <v>78.29414617922521</v>
      </c>
      <c r="K31" s="18" t="n">
        <v>99.51435685736668</v>
      </c>
      <c r="L31" s="18" t="n">
        <v>88.35081947502493</v>
      </c>
      <c r="M31" s="21" t="n">
        <v>1</v>
      </c>
      <c r="N31" s="18" t="n">
        <v>0</v>
      </c>
      <c r="O31" s="21" t="n">
        <v>0.4108</v>
      </c>
      <c r="P31" s="21" t="n">
        <v>0.4518</v>
      </c>
      <c r="Q31" s="21" t="n">
        <v>0.3704</v>
      </c>
      <c r="R31" s="16" t="inlineStr">
        <is>
          <t>packers</t>
        </is>
      </c>
      <c r="S31" s="16" t="inlineStr">
        <is>
          <t>Yes</t>
        </is>
      </c>
    </row>
    <row r="32">
      <c r="B32" s="10" t="inlineStr">
        <is>
          <t>Delhi NCR</t>
        </is>
      </c>
      <c r="C32" s="10" t="inlineStr">
        <is>
          <t>Diwali peak - baseline staffing</t>
        </is>
      </c>
      <c r="D32" s="10" t="inlineStr">
        <is>
          <t>5/3/1/2</t>
        </is>
      </c>
      <c r="E32" s="30" t="n">
        <v>32000</v>
      </c>
      <c r="F32" s="13" t="n">
        <v>373.9</v>
      </c>
      <c r="G32" s="13" t="n">
        <v>382</v>
      </c>
      <c r="H32" s="13" t="n">
        <v>392</v>
      </c>
      <c r="I32" s="12" t="n">
        <v>398.2838132412002</v>
      </c>
      <c r="J32" s="12" t="n">
        <v>424.9612581524748</v>
      </c>
      <c r="K32" s="12" t="n">
        <v>455.8526609808623</v>
      </c>
      <c r="L32" s="12" t="n">
        <v>432.5108267210148</v>
      </c>
      <c r="M32" s="15" t="n">
        <v>0.1757411067193676</v>
      </c>
      <c r="N32" s="12" t="n">
        <v>142</v>
      </c>
      <c r="O32" s="15" t="n">
        <v>0.6504</v>
      </c>
      <c r="P32" s="15" t="n">
        <v>0.8385</v>
      </c>
      <c r="Q32" s="15" t="n">
        <v>0.796</v>
      </c>
      <c r="R32" s="10" t="inlineStr">
        <is>
          <t>packers</t>
        </is>
      </c>
      <c r="S32" s="10" t="inlineStr">
        <is>
          <t>No</t>
        </is>
      </c>
    </row>
    <row r="33">
      <c r="B33" s="16" t="inlineStr">
        <is>
          <t>Delhi NCR</t>
        </is>
      </c>
      <c r="C33" s="16" t="inlineStr">
        <is>
          <t>Diwali peak - peak roster</t>
        </is>
      </c>
      <c r="D33" s="16" t="inlineStr">
        <is>
          <t>7/7/1/5</t>
        </is>
      </c>
      <c r="E33" s="32" t="n">
        <v>57220</v>
      </c>
      <c r="F33" s="19" t="n">
        <v>497</v>
      </c>
      <c r="G33" s="19" t="n">
        <v>523</v>
      </c>
      <c r="H33" s="19" t="n">
        <v>552.1</v>
      </c>
      <c r="I33" s="18" t="n">
        <v>72.65994178598862</v>
      </c>
      <c r="J33" s="18" t="n">
        <v>87.26588376633681</v>
      </c>
      <c r="K33" s="18" t="n">
        <v>106.8385640317917</v>
      </c>
      <c r="L33" s="18" t="n">
        <v>97.11888713925146</v>
      </c>
      <c r="M33" s="21" t="n">
        <v>1</v>
      </c>
      <c r="N33" s="18" t="n">
        <v>0</v>
      </c>
      <c r="O33" s="21" t="n">
        <v>0.4618</v>
      </c>
      <c r="P33" s="21" t="n">
        <v>0.489</v>
      </c>
      <c r="Q33" s="21" t="n">
        <v>0.4371</v>
      </c>
      <c r="R33" s="16" t="inlineStr">
        <is>
          <t>packers</t>
        </is>
      </c>
      <c r="S33" s="16" t="inlineStr">
        <is>
          <t>Yes</t>
        </is>
      </c>
    </row>
    <row r="34">
      <c r="B34" s="10" t="inlineStr">
        <is>
          <t>Bengaluru</t>
        </is>
      </c>
      <c r="C34" s="10" t="inlineStr">
        <is>
          <t>Baseline staffing</t>
        </is>
      </c>
      <c r="D34" s="10" t="inlineStr">
        <is>
          <t>4/3/1/2</t>
        </is>
      </c>
      <c r="E34" s="30" t="n">
        <v>29621</v>
      </c>
      <c r="F34" s="13" t="n">
        <v>196</v>
      </c>
      <c r="G34" s="13" t="n">
        <v>215</v>
      </c>
      <c r="H34" s="13" t="n">
        <v>233</v>
      </c>
      <c r="I34" s="12" t="n">
        <v>73.20032321331446</v>
      </c>
      <c r="J34" s="12" t="n">
        <v>88.71506234176971</v>
      </c>
      <c r="K34" s="12" t="n">
        <v>112.1240221066916</v>
      </c>
      <c r="L34" s="12" t="n">
        <v>100.6771167762689</v>
      </c>
      <c r="M34" s="15" t="n">
        <v>1</v>
      </c>
      <c r="N34" s="12" t="n">
        <v>0</v>
      </c>
      <c r="O34" s="15" t="n">
        <v>0.417</v>
      </c>
      <c r="P34" s="15" t="n">
        <v>0.485</v>
      </c>
      <c r="Q34" s="15" t="n">
        <v>0.4481</v>
      </c>
      <c r="R34" s="10" t="inlineStr">
        <is>
          <t>packers</t>
        </is>
      </c>
      <c r="S34" s="10" t="inlineStr">
        <is>
          <t>Yes</t>
        </is>
      </c>
    </row>
    <row r="35">
      <c r="B35" s="16" t="inlineStr">
        <is>
          <t>Bengaluru</t>
        </is>
      </c>
      <c r="C35" s="16" t="inlineStr">
        <is>
          <t>Optimized staffing</t>
        </is>
      </c>
      <c r="D35" s="16" t="inlineStr">
        <is>
          <t>4/3/1/2</t>
        </is>
      </c>
      <c r="E35" s="32" t="n">
        <v>29621</v>
      </c>
      <c r="F35" s="19" t="n">
        <v>195</v>
      </c>
      <c r="G35" s="19" t="n">
        <v>213</v>
      </c>
      <c r="H35" s="19" t="n">
        <v>232.1</v>
      </c>
      <c r="I35" s="18" t="n">
        <v>71.49034628538675</v>
      </c>
      <c r="J35" s="18" t="n">
        <v>86.81654574851638</v>
      </c>
      <c r="K35" s="18" t="n">
        <v>113.264167533282</v>
      </c>
      <c r="L35" s="18" t="n">
        <v>102.437516612726</v>
      </c>
      <c r="M35" s="21" t="n">
        <v>1</v>
      </c>
      <c r="N35" s="18" t="n">
        <v>0</v>
      </c>
      <c r="O35" s="21" t="n">
        <v>0.4212</v>
      </c>
      <c r="P35" s="21" t="n">
        <v>0.4833</v>
      </c>
      <c r="Q35" s="21" t="n">
        <v>0.4453</v>
      </c>
      <c r="R35" s="16" t="inlineStr">
        <is>
          <t>packers</t>
        </is>
      </c>
      <c r="S35" s="16" t="inlineStr">
        <is>
          <t>Yes</t>
        </is>
      </c>
    </row>
    <row r="36">
      <c r="B36" s="10" t="inlineStr">
        <is>
          <t>Bengaluru</t>
        </is>
      </c>
      <c r="C36" s="10" t="inlineStr">
        <is>
          <t>Diwali peak - baseline staffing</t>
        </is>
      </c>
      <c r="D36" s="10" t="inlineStr">
        <is>
          <t>4/3/1/2</t>
        </is>
      </c>
      <c r="E36" s="30" t="n">
        <v>29621</v>
      </c>
      <c r="F36" s="13" t="n">
        <v>366</v>
      </c>
      <c r="G36" s="13" t="n">
        <v>377.5</v>
      </c>
      <c r="H36" s="13" t="n">
        <v>388.1</v>
      </c>
      <c r="I36" s="12" t="n">
        <v>313.8749026299867</v>
      </c>
      <c r="J36" s="12" t="n">
        <v>349.9993620914667</v>
      </c>
      <c r="K36" s="12" t="n">
        <v>374.2413543516585</v>
      </c>
      <c r="L36" s="12" t="n">
        <v>351.14754237306</v>
      </c>
      <c r="M36" s="15" t="n">
        <v>0.2273804394657475</v>
      </c>
      <c r="N36" s="12" t="n">
        <v>54</v>
      </c>
      <c r="O36" s="15" t="n">
        <v>0.6975</v>
      </c>
      <c r="P36" s="15" t="n">
        <v>0.8290999999999999</v>
      </c>
      <c r="Q36" s="15" t="n">
        <v>0.7856</v>
      </c>
      <c r="R36" s="10" t="inlineStr">
        <is>
          <t>packers</t>
        </is>
      </c>
      <c r="S36" s="10" t="inlineStr">
        <is>
          <t>No</t>
        </is>
      </c>
    </row>
    <row r="37">
      <c r="B37" s="16" t="inlineStr">
        <is>
          <t>Bengaluru</t>
        </is>
      </c>
      <c r="C37" s="16" t="inlineStr">
        <is>
          <t>Diwali peak - peak roster</t>
        </is>
      </c>
      <c r="D37" s="16" t="inlineStr">
        <is>
          <t>6/6/1/4</t>
        </is>
      </c>
      <c r="E37" s="32" t="n">
        <v>49735</v>
      </c>
      <c r="F37" s="19" t="n">
        <v>406.8</v>
      </c>
      <c r="G37" s="19" t="n">
        <v>429</v>
      </c>
      <c r="H37" s="19" t="n">
        <v>457.2</v>
      </c>
      <c r="I37" s="18" t="n">
        <v>68.05763156241569</v>
      </c>
      <c r="J37" s="18" t="n">
        <v>79.52571876541199</v>
      </c>
      <c r="K37" s="18" t="n">
        <v>95.88254787369647</v>
      </c>
      <c r="L37" s="18" t="n">
        <v>87.31019606550669</v>
      </c>
      <c r="M37" s="21" t="n">
        <v>1</v>
      </c>
      <c r="N37" s="18" t="n">
        <v>0</v>
      </c>
      <c r="O37" s="21" t="n">
        <v>0.4622</v>
      </c>
      <c r="P37" s="21" t="n">
        <v>0.4695</v>
      </c>
      <c r="Q37" s="21" t="n">
        <v>0.4476</v>
      </c>
      <c r="R37" s="16" t="inlineStr">
        <is>
          <t>packers</t>
        </is>
      </c>
      <c r="S37" s="16" t="inlineStr">
        <is>
          <t>Yes</t>
        </is>
      </c>
    </row>
    <row r="38">
      <c r="B38" s="10" t="inlineStr">
        <is>
          <t>Chennai</t>
        </is>
      </c>
      <c r="C38" s="10" t="inlineStr">
        <is>
          <t>Baseline staffing</t>
        </is>
      </c>
      <c r="D38" s="10" t="inlineStr">
        <is>
          <t>4/2/1/1</t>
        </is>
      </c>
      <c r="E38" s="30" t="n">
        <v>21657</v>
      </c>
      <c r="F38" s="13" t="n">
        <v>183</v>
      </c>
      <c r="G38" s="13" t="n">
        <v>193.5</v>
      </c>
      <c r="H38" s="13" t="n">
        <v>200</v>
      </c>
      <c r="I38" s="12" t="n">
        <v>222.0822920008835</v>
      </c>
      <c r="J38" s="12" t="n">
        <v>283.5164107567776</v>
      </c>
      <c r="K38" s="12" t="n">
        <v>335.9070428147899</v>
      </c>
      <c r="L38" s="12" t="n">
        <v>306.8223898564777</v>
      </c>
      <c r="M38" s="15" t="n">
        <v>0.2718446601941747</v>
      </c>
      <c r="N38" s="12" t="n">
        <v>3.5</v>
      </c>
      <c r="O38" s="15" t="n">
        <v>0.3889</v>
      </c>
      <c r="P38" s="15" t="n">
        <v>0.6777</v>
      </c>
      <c r="Q38" s="15" t="n">
        <v>0.8007</v>
      </c>
      <c r="R38" s="10" t="inlineStr">
        <is>
          <t>loaders</t>
        </is>
      </c>
      <c r="S38" s="10" t="inlineStr">
        <is>
          <t>No</t>
        </is>
      </c>
    </row>
    <row r="39">
      <c r="B39" s="16" t="inlineStr">
        <is>
          <t>Chennai</t>
        </is>
      </c>
      <c r="C39" s="16" t="inlineStr">
        <is>
          <t>Optimized staffing</t>
        </is>
      </c>
      <c r="D39" s="16" t="inlineStr">
        <is>
          <t>4/3/1/2</t>
        </is>
      </c>
      <c r="E39" s="32" t="n">
        <v>26717</v>
      </c>
      <c r="F39" s="19" t="n">
        <v>182</v>
      </c>
      <c r="G39" s="19" t="n">
        <v>202</v>
      </c>
      <c r="H39" s="19" t="n">
        <v>223</v>
      </c>
      <c r="I39" s="18" t="n">
        <v>68.71551062807835</v>
      </c>
      <c r="J39" s="18" t="n">
        <v>79.69847736392833</v>
      </c>
      <c r="K39" s="18" t="n">
        <v>99.41179475182446</v>
      </c>
      <c r="L39" s="18" t="n">
        <v>88.99440888104228</v>
      </c>
      <c r="M39" s="21" t="n">
        <v>1</v>
      </c>
      <c r="N39" s="18" t="n">
        <v>0</v>
      </c>
      <c r="O39" s="21" t="n">
        <v>0.392</v>
      </c>
      <c r="P39" s="21" t="n">
        <v>0.4577</v>
      </c>
      <c r="Q39" s="21" t="n">
        <v>0.4224</v>
      </c>
      <c r="R39" s="16" t="inlineStr">
        <is>
          <t>packers</t>
        </is>
      </c>
      <c r="S39" s="16" t="inlineStr">
        <is>
          <t>Yes</t>
        </is>
      </c>
    </row>
    <row r="40">
      <c r="B40" s="10" t="inlineStr">
        <is>
          <t>Chennai</t>
        </is>
      </c>
      <c r="C40" s="10" t="inlineStr">
        <is>
          <t>Diwali peak - baseline staffing</t>
        </is>
      </c>
      <c r="D40" s="10" t="inlineStr">
        <is>
          <t>4/2/1/1</t>
        </is>
      </c>
      <c r="E40" s="30" t="n">
        <v>21657</v>
      </c>
      <c r="F40" s="13" t="n">
        <v>196</v>
      </c>
      <c r="G40" s="13" t="n">
        <v>202</v>
      </c>
      <c r="H40" s="13" t="n">
        <v>207</v>
      </c>
      <c r="I40" s="12" t="n">
        <v>510.5133963604836</v>
      </c>
      <c r="J40" s="12" t="n">
        <v>541.2656513353652</v>
      </c>
      <c r="K40" s="12" t="n">
        <v>572.8836943104686</v>
      </c>
      <c r="L40" s="12" t="n">
        <v>543.3195712930814</v>
      </c>
      <c r="M40" s="15" t="n">
        <v>0.1218483438355842</v>
      </c>
      <c r="N40" s="12" t="n">
        <v>167</v>
      </c>
      <c r="O40" s="15" t="n">
        <v>0.5813</v>
      </c>
      <c r="P40" s="15" t="n">
        <v>0.836</v>
      </c>
      <c r="Q40" s="15" t="n">
        <v>0.8403</v>
      </c>
      <c r="R40" s="10" t="inlineStr">
        <is>
          <t>loaders</t>
        </is>
      </c>
      <c r="S40" s="10" t="inlineStr">
        <is>
          <t>No</t>
        </is>
      </c>
    </row>
    <row r="41">
      <c r="B41" s="16" t="inlineStr">
        <is>
          <t>Chennai</t>
        </is>
      </c>
      <c r="C41" s="16" t="inlineStr">
        <is>
          <t>Diwali peak - peak roster</t>
        </is>
      </c>
      <c r="D41" s="16" t="inlineStr">
        <is>
          <t>5/5/1/3</t>
        </is>
      </c>
      <c r="E41" s="32" t="n">
        <v>37076</v>
      </c>
      <c r="F41" s="19" t="n">
        <v>344.9</v>
      </c>
      <c r="G41" s="19" t="n">
        <v>368</v>
      </c>
      <c r="H41" s="19" t="n">
        <v>389</v>
      </c>
      <c r="I41" s="18" t="n">
        <v>78.75959851706726</v>
      </c>
      <c r="J41" s="18" t="n">
        <v>94.94421010629718</v>
      </c>
      <c r="K41" s="18" t="n">
        <v>115.7252389473441</v>
      </c>
      <c r="L41" s="18" t="n">
        <v>106.1325994365995</v>
      </c>
      <c r="M41" s="21" t="n">
        <v>0.9958962638329288</v>
      </c>
      <c r="N41" s="18" t="n">
        <v>0</v>
      </c>
      <c r="O41" s="21" t="n">
        <v>0.4679</v>
      </c>
      <c r="P41" s="21" t="n">
        <v>0.482</v>
      </c>
      <c r="Q41" s="21" t="n">
        <v>0.511</v>
      </c>
      <c r="R41" s="16" t="inlineStr">
        <is>
          <t>loaders</t>
        </is>
      </c>
      <c r="S41" s="16" t="inlineStr">
        <is>
          <t>Yes</t>
        </is>
      </c>
    </row>
    <row r="42">
      <c r="B42" s="10" t="inlineStr">
        <is>
          <t>Kolkata</t>
        </is>
      </c>
      <c r="C42" s="10" t="inlineStr">
        <is>
          <t>Baseline staffing</t>
        </is>
      </c>
      <c r="D42" s="10" t="inlineStr">
        <is>
          <t>3/2/1/1</t>
        </is>
      </c>
      <c r="E42" s="30" t="n">
        <v>17493</v>
      </c>
      <c r="F42" s="13" t="n">
        <v>130.9</v>
      </c>
      <c r="G42" s="13" t="n">
        <v>145.5</v>
      </c>
      <c r="H42" s="13" t="n">
        <v>160</v>
      </c>
      <c r="I42" s="12" t="n">
        <v>99.35189961975549</v>
      </c>
      <c r="J42" s="12" t="n">
        <v>136.1357160396475</v>
      </c>
      <c r="K42" s="12" t="n">
        <v>174.3042018558299</v>
      </c>
      <c r="L42" s="12" t="n">
        <v>164.1040149144674</v>
      </c>
      <c r="M42" s="15" t="n">
        <v>0.8185582198740093</v>
      </c>
      <c r="N42" s="12" t="n">
        <v>0</v>
      </c>
      <c r="O42" s="15" t="n">
        <v>0.3808</v>
      </c>
      <c r="P42" s="15" t="n">
        <v>0.4917</v>
      </c>
      <c r="Q42" s="15" t="n">
        <v>0.605</v>
      </c>
      <c r="R42" s="10" t="inlineStr">
        <is>
          <t>loaders</t>
        </is>
      </c>
      <c r="S42" s="10" t="inlineStr">
        <is>
          <t>No</t>
        </is>
      </c>
    </row>
    <row r="43">
      <c r="B43" s="16" t="inlineStr">
        <is>
          <t>Kolkata</t>
        </is>
      </c>
      <c r="C43" s="16" t="inlineStr">
        <is>
          <t>Optimized staffing</t>
        </is>
      </c>
      <c r="D43" s="16" t="inlineStr">
        <is>
          <t>3/2/1/2</t>
        </is>
      </c>
      <c r="E43" s="32" t="n">
        <v>19788</v>
      </c>
      <c r="F43" s="19" t="n">
        <v>128.9</v>
      </c>
      <c r="G43" s="19" t="n">
        <v>144</v>
      </c>
      <c r="H43" s="19" t="n">
        <v>159</v>
      </c>
      <c r="I43" s="18" t="n">
        <v>72.13946258767176</v>
      </c>
      <c r="J43" s="18" t="n">
        <v>91.68497186179198</v>
      </c>
      <c r="K43" s="18" t="n">
        <v>120.5686799977613</v>
      </c>
      <c r="L43" s="18" t="n">
        <v>106.231004987432</v>
      </c>
      <c r="M43" s="21" t="n">
        <v>1</v>
      </c>
      <c r="N43" s="18" t="n">
        <v>0</v>
      </c>
      <c r="O43" s="21" t="n">
        <v>0.3783</v>
      </c>
      <c r="P43" s="21" t="n">
        <v>0.4884</v>
      </c>
      <c r="Q43" s="21" t="n">
        <v>0.3007</v>
      </c>
      <c r="R43" s="16" t="inlineStr">
        <is>
          <t>packers</t>
        </is>
      </c>
      <c r="S43" s="16" t="inlineStr">
        <is>
          <t>Yes</t>
        </is>
      </c>
    </row>
    <row r="44">
      <c r="B44" s="10" t="inlineStr">
        <is>
          <t>Kolkata</t>
        </is>
      </c>
      <c r="C44" s="10" t="inlineStr">
        <is>
          <t>Diwali peak - baseline staffing</t>
        </is>
      </c>
      <c r="D44" s="10" t="inlineStr">
        <is>
          <t>3/2/1/1</t>
        </is>
      </c>
      <c r="E44" s="30" t="n">
        <v>17493</v>
      </c>
      <c r="F44" s="13" t="n">
        <v>196</v>
      </c>
      <c r="G44" s="13" t="n">
        <v>203</v>
      </c>
      <c r="H44" s="13" t="n">
        <v>209</v>
      </c>
      <c r="I44" s="12" t="n">
        <v>475.8180554921358</v>
      </c>
      <c r="J44" s="12" t="n">
        <v>513.0349959640029</v>
      </c>
      <c r="K44" s="12" t="n">
        <v>553.8708016746248</v>
      </c>
      <c r="L44" s="12" t="n">
        <v>518.9771253790771</v>
      </c>
      <c r="M44" s="15" t="n">
        <v>0.1339424788607032</v>
      </c>
      <c r="N44" s="12" t="n">
        <v>143</v>
      </c>
      <c r="O44" s="15" t="n">
        <v>0.7504</v>
      </c>
      <c r="P44" s="15" t="n">
        <v>0.8336</v>
      </c>
      <c r="Q44" s="15" t="n">
        <v>0.8419</v>
      </c>
      <c r="R44" s="10" t="inlineStr">
        <is>
          <t>loaders</t>
        </is>
      </c>
      <c r="S44" s="10" t="inlineStr">
        <is>
          <t>No</t>
        </is>
      </c>
    </row>
    <row r="45">
      <c r="B45" s="16" t="inlineStr">
        <is>
          <t>Kolkata</t>
        </is>
      </c>
      <c r="C45" s="16" t="inlineStr">
        <is>
          <t>Diwali peak - peak roster</t>
        </is>
      </c>
      <c r="D45" s="16" t="inlineStr">
        <is>
          <t>5/5/1/3</t>
        </is>
      </c>
      <c r="E45" s="32" t="n">
        <v>34255</v>
      </c>
      <c r="F45" s="19" t="n">
        <v>328</v>
      </c>
      <c r="G45" s="19" t="n">
        <v>347</v>
      </c>
      <c r="H45" s="19" t="n">
        <v>373.1</v>
      </c>
      <c r="I45" s="18" t="n">
        <v>73.9797996890472</v>
      </c>
      <c r="J45" s="18" t="n">
        <v>90.81979290011162</v>
      </c>
      <c r="K45" s="18" t="n">
        <v>112.4902331807958</v>
      </c>
      <c r="L45" s="18" t="n">
        <v>100.7376092110008</v>
      </c>
      <c r="M45" s="21" t="n">
        <v>1</v>
      </c>
      <c r="N45" s="18" t="n">
        <v>0</v>
      </c>
      <c r="O45" s="21" t="n">
        <v>0.4639</v>
      </c>
      <c r="P45" s="21" t="n">
        <v>0.4573</v>
      </c>
      <c r="Q45" s="21" t="n">
        <v>0.483</v>
      </c>
      <c r="R45" s="16" t="inlineStr">
        <is>
          <t>loaders</t>
        </is>
      </c>
      <c r="S45" s="16" t="inlineStr">
        <is>
          <t>Yes</t>
        </is>
      </c>
    </row>
    <row r="48">
      <c r="B48" s="7" t="inlineStr">
        <is>
          <t>Mumbai DC: distribution of intake-to-dispatch time (all replications)</t>
        </is>
      </c>
      <c r="C48" s="8" t="n"/>
      <c r="D48" s="8" t="n"/>
      <c r="E48" s="8" t="n"/>
      <c r="F48" s="8" t="n"/>
      <c r="G48" s="8" t="n"/>
    </row>
    <row r="49" ht="30" customHeight="1">
      <c r="B49" s="9" t="inlineStr">
        <is>
          <t>Cycle bin (min)</t>
        </is>
      </c>
      <c r="C49" s="9" t="inlineStr">
        <is>
          <t>Baseline staffing</t>
        </is>
      </c>
      <c r="D49" s="9" t="inlineStr">
        <is>
          <t>Optimized staffing</t>
        </is>
      </c>
      <c r="E49" s="9" t="inlineStr">
        <is>
          <t>Diwali peak - baseline staffing</t>
        </is>
      </c>
      <c r="F49" s="9" t="inlineStr">
        <is>
          <t>Diwali peak - peak roster</t>
        </is>
      </c>
    </row>
    <row r="50">
      <c r="B50" s="10" t="n">
        <v>0</v>
      </c>
      <c r="C50" s="13" t="n">
        <v>33</v>
      </c>
      <c r="D50" s="13" t="n">
        <v>58</v>
      </c>
      <c r="E50" s="13" t="n">
        <v>27</v>
      </c>
      <c r="F50" s="13" t="n">
        <v>110</v>
      </c>
    </row>
    <row r="51">
      <c r="B51" s="16" t="n">
        <v>10</v>
      </c>
      <c r="C51" s="19" t="n">
        <v>445</v>
      </c>
      <c r="D51" s="19" t="n">
        <v>1066</v>
      </c>
      <c r="E51" s="19" t="n">
        <v>491</v>
      </c>
      <c r="F51" s="19" t="n">
        <v>1535</v>
      </c>
    </row>
    <row r="52">
      <c r="B52" s="10" t="n">
        <v>20</v>
      </c>
      <c r="C52" s="13" t="n">
        <v>1400</v>
      </c>
      <c r="D52" s="13" t="n">
        <v>4368</v>
      </c>
      <c r="E52" s="13" t="n">
        <v>1008</v>
      </c>
      <c r="F52" s="13" t="n">
        <v>4390</v>
      </c>
    </row>
    <row r="53">
      <c r="B53" s="16" t="n">
        <v>30</v>
      </c>
      <c r="C53" s="19" t="n">
        <v>2868</v>
      </c>
      <c r="D53" s="19" t="n">
        <v>10773</v>
      </c>
      <c r="E53" s="19" t="n">
        <v>2307</v>
      </c>
      <c r="F53" s="19" t="n">
        <v>13517</v>
      </c>
    </row>
    <row r="54">
      <c r="B54" s="10" t="n">
        <v>40</v>
      </c>
      <c r="C54" s="13" t="n">
        <v>3098</v>
      </c>
      <c r="D54" s="13" t="n">
        <v>10639</v>
      </c>
      <c r="E54" s="13" t="n">
        <v>2407</v>
      </c>
      <c r="F54" s="13" t="n">
        <v>14968</v>
      </c>
    </row>
    <row r="55">
      <c r="B55" s="16" t="n">
        <v>50</v>
      </c>
      <c r="C55" s="19" t="n">
        <v>3048</v>
      </c>
      <c r="D55" s="19" t="n">
        <v>9056</v>
      </c>
      <c r="E55" s="19" t="n">
        <v>2088</v>
      </c>
      <c r="F55" s="19" t="n">
        <v>14758</v>
      </c>
    </row>
    <row r="56">
      <c r="B56" s="10" t="n">
        <v>60</v>
      </c>
      <c r="C56" s="13" t="n">
        <v>3180</v>
      </c>
      <c r="D56" s="13" t="n">
        <v>6991</v>
      </c>
      <c r="E56" s="13" t="n">
        <v>1850</v>
      </c>
      <c r="F56" s="13" t="n">
        <v>14316</v>
      </c>
    </row>
    <row r="57">
      <c r="B57" s="16" t="n">
        <v>70</v>
      </c>
      <c r="C57" s="19" t="n">
        <v>3424</v>
      </c>
      <c r="D57" s="19" t="n">
        <v>5336</v>
      </c>
      <c r="E57" s="19" t="n">
        <v>1666</v>
      </c>
      <c r="F57" s="19" t="n">
        <v>13675</v>
      </c>
    </row>
    <row r="58">
      <c r="B58" s="10" t="n">
        <v>80</v>
      </c>
      <c r="C58" s="13" t="n">
        <v>4049</v>
      </c>
      <c r="D58" s="13" t="n">
        <v>3481</v>
      </c>
      <c r="E58" s="13" t="n">
        <v>1587</v>
      </c>
      <c r="F58" s="13" t="n">
        <v>11501</v>
      </c>
    </row>
    <row r="59">
      <c r="B59" s="16" t="n">
        <v>90</v>
      </c>
      <c r="C59" s="19" t="n">
        <v>4559</v>
      </c>
      <c r="D59" s="19" t="n">
        <v>2187</v>
      </c>
      <c r="E59" s="19" t="n">
        <v>1528</v>
      </c>
      <c r="F59" s="19" t="n">
        <v>8710</v>
      </c>
    </row>
    <row r="60">
      <c r="B60" s="10" t="n">
        <v>100</v>
      </c>
      <c r="C60" s="13" t="n">
        <v>4829</v>
      </c>
      <c r="D60" s="13" t="n">
        <v>1304</v>
      </c>
      <c r="E60" s="13" t="n">
        <v>1421</v>
      </c>
      <c r="F60" s="13" t="n">
        <v>6115</v>
      </c>
    </row>
    <row r="61">
      <c r="B61" s="16" t="n">
        <v>110</v>
      </c>
      <c r="C61" s="19" t="n">
        <v>4961</v>
      </c>
      <c r="D61" s="19" t="n">
        <v>668</v>
      </c>
      <c r="E61" s="19" t="n">
        <v>1461</v>
      </c>
      <c r="F61" s="19" t="n">
        <v>3692</v>
      </c>
    </row>
    <row r="62">
      <c r="B62" s="10" t="n">
        <v>120</v>
      </c>
      <c r="C62" s="13" t="n">
        <v>4822</v>
      </c>
      <c r="D62" s="13" t="n">
        <v>332</v>
      </c>
      <c r="E62" s="13" t="n">
        <v>1410</v>
      </c>
      <c r="F62" s="13" t="n">
        <v>2013</v>
      </c>
    </row>
    <row r="63">
      <c r="B63" s="16" t="n">
        <v>130</v>
      </c>
      <c r="C63" s="19" t="n">
        <v>4483</v>
      </c>
      <c r="D63" s="19" t="n">
        <v>133</v>
      </c>
      <c r="E63" s="19" t="n">
        <v>1386</v>
      </c>
      <c r="F63" s="19" t="n">
        <v>1047</v>
      </c>
    </row>
    <row r="64">
      <c r="B64" s="10" t="n">
        <v>140</v>
      </c>
      <c r="C64" s="13" t="n">
        <v>3851</v>
      </c>
      <c r="D64" s="13" t="n">
        <v>47</v>
      </c>
      <c r="E64" s="13" t="n">
        <v>1401</v>
      </c>
      <c r="F64" s="13" t="n">
        <v>483</v>
      </c>
    </row>
    <row r="65">
      <c r="B65" s="16" t="n">
        <v>150</v>
      </c>
      <c r="C65" s="19" t="n">
        <v>2636</v>
      </c>
      <c r="D65" s="19" t="n">
        <v>11</v>
      </c>
      <c r="E65" s="19" t="n">
        <v>1309</v>
      </c>
      <c r="F65" s="19" t="n">
        <v>159</v>
      </c>
    </row>
    <row r="66">
      <c r="B66" s="10" t="n">
        <v>160</v>
      </c>
      <c r="C66" s="13" t="n">
        <v>1818</v>
      </c>
      <c r="D66" s="13" t="n">
        <v>1</v>
      </c>
      <c r="E66" s="13" t="n">
        <v>1410</v>
      </c>
      <c r="F66" s="13" t="n">
        <v>54</v>
      </c>
    </row>
    <row r="67">
      <c r="B67" s="16" t="n">
        <v>170</v>
      </c>
      <c r="C67" s="19" t="n">
        <v>1187</v>
      </c>
      <c r="D67" s="19" t="n">
        <v>2</v>
      </c>
      <c r="E67" s="19" t="n">
        <v>1358</v>
      </c>
      <c r="F67" s="19" t="n">
        <v>22</v>
      </c>
    </row>
    <row r="68">
      <c r="B68" s="10" t="n">
        <v>180</v>
      </c>
      <c r="C68" s="13" t="n">
        <v>897</v>
      </c>
      <c r="D68" s="13" t="n">
        <v>0</v>
      </c>
      <c r="E68" s="13" t="n">
        <v>1371</v>
      </c>
      <c r="F68" s="13" t="n">
        <v>3</v>
      </c>
    </row>
    <row r="69">
      <c r="B69" s="16" t="n">
        <v>190</v>
      </c>
      <c r="C69" s="19" t="n">
        <v>486</v>
      </c>
      <c r="D69" s="19" t="n">
        <v>0</v>
      </c>
      <c r="E69" s="19" t="n">
        <v>1359</v>
      </c>
      <c r="F69" s="19" t="n">
        <v>2</v>
      </c>
    </row>
    <row r="70">
      <c r="B70" s="10" t="n">
        <v>200</v>
      </c>
      <c r="C70" s="13" t="n">
        <v>250</v>
      </c>
      <c r="D70" s="13" t="n">
        <v>0</v>
      </c>
      <c r="E70" s="13" t="n">
        <v>1327</v>
      </c>
      <c r="F70" s="13" t="n">
        <v>0</v>
      </c>
    </row>
    <row r="71">
      <c r="B71" s="16" t="n">
        <v>210</v>
      </c>
      <c r="C71" s="19" t="n">
        <v>120</v>
      </c>
      <c r="D71" s="19" t="n">
        <v>0</v>
      </c>
      <c r="E71" s="19" t="n">
        <v>1307</v>
      </c>
      <c r="F71" s="19" t="n">
        <v>0</v>
      </c>
    </row>
    <row r="72">
      <c r="B72" s="10" t="n">
        <v>220</v>
      </c>
      <c r="C72" s="13" t="n">
        <v>51</v>
      </c>
      <c r="D72" s="13" t="n">
        <v>0</v>
      </c>
      <c r="E72" s="13" t="n">
        <v>1343</v>
      </c>
      <c r="F72" s="13" t="n">
        <v>0</v>
      </c>
    </row>
    <row r="73">
      <c r="B73" s="16" t="n">
        <v>230</v>
      </c>
      <c r="C73" s="19" t="n">
        <v>13</v>
      </c>
      <c r="D73" s="19" t="n">
        <v>0</v>
      </c>
      <c r="E73" s="19" t="n">
        <v>1349</v>
      </c>
      <c r="F73" s="19" t="n">
        <v>0</v>
      </c>
    </row>
    <row r="74">
      <c r="B74" s="10" t="n">
        <v>240</v>
      </c>
      <c r="C74" s="13" t="n">
        <v>5</v>
      </c>
      <c r="D74" s="13" t="n">
        <v>0</v>
      </c>
      <c r="E74" s="13" t="n">
        <v>1314</v>
      </c>
      <c r="F74" s="13" t="n">
        <v>0</v>
      </c>
    </row>
    <row r="75">
      <c r="B75" s="16" t="n">
        <v>250</v>
      </c>
      <c r="C75" s="19" t="n">
        <v>1</v>
      </c>
      <c r="D75" s="19" t="n">
        <v>0</v>
      </c>
      <c r="E75" s="19" t="n">
        <v>1313</v>
      </c>
      <c r="F75" s="19" t="n">
        <v>0</v>
      </c>
    </row>
    <row r="76">
      <c r="B76" s="10" t="n">
        <v>260</v>
      </c>
      <c r="C76" s="13" t="n">
        <v>0</v>
      </c>
      <c r="D76" s="13" t="n">
        <v>0</v>
      </c>
      <c r="E76" s="13" t="n">
        <v>1321</v>
      </c>
      <c r="F76" s="13" t="n">
        <v>0</v>
      </c>
    </row>
    <row r="77">
      <c r="B77" s="16" t="n">
        <v>270</v>
      </c>
      <c r="C77" s="19" t="n">
        <v>0</v>
      </c>
      <c r="D77" s="19" t="n">
        <v>0</v>
      </c>
      <c r="E77" s="19" t="n">
        <v>1329</v>
      </c>
      <c r="F77" s="19" t="n">
        <v>0</v>
      </c>
    </row>
    <row r="78">
      <c r="B78" s="10" t="n">
        <v>280</v>
      </c>
      <c r="C78" s="13" t="n">
        <v>0</v>
      </c>
      <c r="D78" s="13" t="n">
        <v>0</v>
      </c>
      <c r="E78" s="13" t="n">
        <v>1352</v>
      </c>
      <c r="F78" s="13" t="n">
        <v>0</v>
      </c>
    </row>
    <row r="79">
      <c r="B79" s="16" t="n">
        <v>290</v>
      </c>
      <c r="C79" s="19" t="n">
        <v>0</v>
      </c>
      <c r="D79" s="19" t="n">
        <v>0</v>
      </c>
      <c r="E79" s="19" t="n">
        <v>1410</v>
      </c>
      <c r="F79" s="19" t="n">
        <v>0</v>
      </c>
    </row>
    <row r="80">
      <c r="B80" s="10" t="n">
        <v>300</v>
      </c>
      <c r="C80" s="13" t="n">
        <v>0</v>
      </c>
      <c r="D80" s="13" t="n">
        <v>0</v>
      </c>
      <c r="E80" s="13" t="n">
        <v>1391</v>
      </c>
      <c r="F80" s="13" t="n">
        <v>0</v>
      </c>
    </row>
    <row r="81">
      <c r="B81" s="16" t="n">
        <v>310</v>
      </c>
      <c r="C81" s="19" t="n">
        <v>0</v>
      </c>
      <c r="D81" s="19" t="n">
        <v>0</v>
      </c>
      <c r="E81" s="19" t="n">
        <v>1472</v>
      </c>
      <c r="F81" s="19" t="n">
        <v>0</v>
      </c>
    </row>
    <row r="82">
      <c r="B82" s="10" t="n">
        <v>320</v>
      </c>
      <c r="C82" s="13" t="n">
        <v>0</v>
      </c>
      <c r="D82" s="13" t="n">
        <v>0</v>
      </c>
      <c r="E82" s="13" t="n">
        <v>1516</v>
      </c>
      <c r="F82" s="13" t="n">
        <v>0</v>
      </c>
    </row>
    <row r="83">
      <c r="B83" s="16" t="n">
        <v>330</v>
      </c>
      <c r="C83" s="19" t="n">
        <v>0</v>
      </c>
      <c r="D83" s="19" t="n">
        <v>0</v>
      </c>
      <c r="E83" s="19" t="n">
        <v>1612</v>
      </c>
      <c r="F83" s="19" t="n">
        <v>0</v>
      </c>
    </row>
    <row r="84">
      <c r="B84" s="10" t="n">
        <v>340</v>
      </c>
      <c r="C84" s="13" t="n">
        <v>0</v>
      </c>
      <c r="D84" s="13" t="n">
        <v>0</v>
      </c>
      <c r="E84" s="13" t="n">
        <v>1610</v>
      </c>
      <c r="F84" s="13" t="n">
        <v>0</v>
      </c>
    </row>
    <row r="85">
      <c r="B85" s="16" t="n">
        <v>350</v>
      </c>
      <c r="C85" s="19" t="n">
        <v>0</v>
      </c>
      <c r="D85" s="19" t="n">
        <v>0</v>
      </c>
      <c r="E85" s="19" t="n">
        <v>1732</v>
      </c>
      <c r="F85" s="19" t="n">
        <v>0</v>
      </c>
    </row>
    <row r="86">
      <c r="B86" s="10" t="n">
        <v>360</v>
      </c>
      <c r="C86" s="13" t="n">
        <v>0</v>
      </c>
      <c r="D86" s="13" t="n">
        <v>0</v>
      </c>
      <c r="E86" s="13" t="n">
        <v>1819</v>
      </c>
      <c r="F86" s="13" t="n">
        <v>0</v>
      </c>
    </row>
    <row r="87">
      <c r="B87" s="16" t="n">
        <v>370</v>
      </c>
      <c r="C87" s="19" t="n">
        <v>0</v>
      </c>
      <c r="D87" s="19" t="n">
        <v>0</v>
      </c>
      <c r="E87" s="19" t="n">
        <v>2086</v>
      </c>
      <c r="F87" s="19" t="n">
        <v>0</v>
      </c>
    </row>
    <row r="88">
      <c r="B88" s="10" t="n">
        <v>380</v>
      </c>
      <c r="C88" s="13" t="n">
        <v>0</v>
      </c>
      <c r="D88" s="13" t="n">
        <v>0</v>
      </c>
      <c r="E88" s="13" t="n">
        <v>2175</v>
      </c>
      <c r="F88" s="13" t="n">
        <v>0</v>
      </c>
    </row>
    <row r="89">
      <c r="B89" s="16" t="n">
        <v>390</v>
      </c>
      <c r="C89" s="19" t="n">
        <v>0</v>
      </c>
      <c r="D89" s="19" t="n">
        <v>0</v>
      </c>
      <c r="E89" s="19" t="n">
        <v>2127</v>
      </c>
      <c r="F89" s="19" t="n">
        <v>0</v>
      </c>
    </row>
    <row r="90">
      <c r="B90" s="10" t="n">
        <v>400</v>
      </c>
      <c r="C90" s="13" t="n">
        <v>0</v>
      </c>
      <c r="D90" s="13" t="n">
        <v>0</v>
      </c>
      <c r="E90" s="13" t="n">
        <v>2325</v>
      </c>
      <c r="F90" s="13" t="n">
        <v>0</v>
      </c>
    </row>
    <row r="91">
      <c r="B91" s="16" t="n">
        <v>410</v>
      </c>
      <c r="C91" s="19" t="n">
        <v>0</v>
      </c>
      <c r="D91" s="19" t="n">
        <v>0</v>
      </c>
      <c r="E91" s="19" t="n">
        <v>2313</v>
      </c>
      <c r="F91" s="19" t="n">
        <v>0</v>
      </c>
    </row>
    <row r="92">
      <c r="B92" s="10" t="n">
        <v>420</v>
      </c>
      <c r="C92" s="13" t="n">
        <v>0</v>
      </c>
      <c r="D92" s="13" t="n">
        <v>0</v>
      </c>
      <c r="E92" s="13" t="n">
        <v>2284</v>
      </c>
      <c r="F92" s="13" t="n">
        <v>0</v>
      </c>
    </row>
    <row r="93">
      <c r="B93" s="16" t="n">
        <v>430</v>
      </c>
      <c r="C93" s="19" t="n">
        <v>0</v>
      </c>
      <c r="D93" s="19" t="n">
        <v>0</v>
      </c>
      <c r="E93" s="19" t="n">
        <v>2147</v>
      </c>
      <c r="F93" s="19" t="n">
        <v>0</v>
      </c>
    </row>
    <row r="94">
      <c r="B94" s="10" t="n">
        <v>440</v>
      </c>
      <c r="C94" s="13" t="n">
        <v>0</v>
      </c>
      <c r="D94" s="13" t="n">
        <v>0</v>
      </c>
      <c r="E94" s="13" t="n">
        <v>1944</v>
      </c>
      <c r="F94" s="13" t="n">
        <v>0</v>
      </c>
    </row>
    <row r="95">
      <c r="B95" s="16" t="n">
        <v>450</v>
      </c>
      <c r="C95" s="19" t="n">
        <v>0</v>
      </c>
      <c r="D95" s="19" t="n">
        <v>0</v>
      </c>
      <c r="E95" s="19" t="n">
        <v>1671</v>
      </c>
      <c r="F95" s="19" t="n">
        <v>0</v>
      </c>
    </row>
    <row r="96">
      <c r="B96" s="10" t="n">
        <v>460</v>
      </c>
      <c r="C96" s="13" t="n">
        <v>0</v>
      </c>
      <c r="D96" s="13" t="n">
        <v>0</v>
      </c>
      <c r="E96" s="13" t="n">
        <v>1251</v>
      </c>
      <c r="F96" s="13" t="n">
        <v>0</v>
      </c>
    </row>
    <row r="97">
      <c r="B97" s="16" t="n">
        <v>470</v>
      </c>
      <c r="C97" s="19" t="n">
        <v>0</v>
      </c>
      <c r="D97" s="19" t="n">
        <v>0</v>
      </c>
      <c r="E97" s="19" t="n">
        <v>2214</v>
      </c>
      <c r="F97" s="19" t="n">
        <v>0</v>
      </c>
    </row>
  </sheetData>
  <mergeCells count="1">
    <mergeCell ref="B1:Q1"/>
  </mergeCells>
  <conditionalFormatting sqref="C6:F10">
    <cfRule type="colorScale" priority="1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O26:O45">
    <cfRule type="colorScale" priority="2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P26:P45">
    <cfRule type="colorScale" priority="3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Q26:Q45">
    <cfRule type="colorScale" priority="4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S26:S45">
    <cfRule type="cellIs" priority="5" operator="equal" dxfId="1">
      <formula>"Yes"</formula>
    </cfRule>
    <cfRule type="cellIs" priority="6" operator="equal" dxfId="0">
      <formula>"No"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0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Q1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70" customWidth="1" min="14" max="14"/>
    <col width="14" customWidth="1" min="15" max="15"/>
    <col width="14" customWidth="1" min="16" max="16"/>
    <col width="14" customWidth="1" min="17" max="17"/>
  </cols>
  <sheetData>
    <row r="1" ht="34" customHeight="1">
      <c r="A1" s="1" t="n"/>
      <c r="B1" s="2" t="inlineStr">
        <is>
          <t>Network Design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8" customHeight="1">
      <c r="B2" s="3" t="inlineStr">
        <is>
          <t>p-median (PuLP) over candidate MFC sites per city · 2-hour SLA tested at evening-peak traffic</t>
        </is>
      </c>
    </row>
    <row r="4">
      <c r="B4" s="7" t="inlineStr">
        <is>
          <t>Cross-state MFC investment ranking (lowest break-even volume first)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 ht="30" customHeight="1">
      <c r="B5" s="9" t="inlineStr">
        <is>
          <t>Priority</t>
        </is>
      </c>
      <c r="C5" s="9" t="inlineStr">
        <is>
          <t>City</t>
        </is>
      </c>
      <c r="D5" s="9" t="inlineStr">
        <is>
          <t>State(s)</t>
        </is>
      </c>
      <c r="E5" s="9" t="inlineStr">
        <is>
          <t>Parcels/day</t>
        </is>
      </c>
      <c r="F5" s="9" t="inlineStr">
        <is>
          <t>2h SLA today</t>
        </is>
      </c>
      <c r="G5" s="9" t="inlineStr">
        <is>
          <t>Best p</t>
        </is>
      </c>
      <c r="H5" s="9" t="inlineStr">
        <is>
          <t>Best sites</t>
        </is>
      </c>
      <c r="I5" s="9" t="inlineStr">
        <is>
          <t>Best NPV (₹ cr)</t>
        </is>
      </c>
      <c r="J5" s="9" t="inlineStr">
        <is>
          <t>Break-even parcels/day</t>
        </is>
      </c>
      <c r="K5" s="9" t="inlineStr">
        <is>
          <t>Break-even x volume</t>
        </is>
      </c>
      <c r="L5" s="9" t="inlineStr">
        <is>
          <t>Min p for 100% SLA</t>
        </is>
      </c>
      <c r="M5" s="9" t="inlineStr">
        <is>
          <t>₹ / order-km</t>
        </is>
      </c>
      <c r="N5" s="9" t="inlineStr">
        <is>
          <t>Recommendation</t>
        </is>
      </c>
    </row>
    <row r="6">
      <c r="B6" s="10" t="n">
        <v>1</v>
      </c>
      <c r="C6" s="10" t="inlineStr">
        <is>
          <t>Delhi NCR</t>
        </is>
      </c>
      <c r="D6" s="10" t="inlineStr">
        <is>
          <t>Delhi / Haryana / Uttar Pradesh</t>
        </is>
      </c>
      <c r="E6" s="12" t="n">
        <v>193.9</v>
      </c>
      <c r="F6" s="15" t="n">
        <v>0.4189</v>
      </c>
      <c r="G6" s="10" t="n">
        <v>1</v>
      </c>
      <c r="H6" s="10" t="inlineStr">
        <is>
          <t>Mayapuri</t>
        </is>
      </c>
      <c r="I6" s="60" t="n">
        <v>-2.7129032</v>
      </c>
      <c r="J6" s="13" t="n">
        <v>551</v>
      </c>
      <c r="K6" s="52" t="n">
        <v>2.84</v>
      </c>
      <c r="L6" s="10" t="n">
        <v>3</v>
      </c>
      <c r="M6" s="29" t="n">
        <v>7.82</v>
      </c>
      <c r="N6" s="10" t="inlineStr">
        <is>
          <t>Defer new MFCs: no configuration has positive NPV at today's 194 parcels/day. Least-negative option p=1 (Mayapuri) breaks even at 2.8x volume (~551 parcels/day).</t>
        </is>
      </c>
    </row>
    <row r="7">
      <c r="B7" s="16" t="n">
        <v>2</v>
      </c>
      <c r="C7" s="16" t="inlineStr">
        <is>
          <t>Mumbai MMR</t>
        </is>
      </c>
      <c r="D7" s="16" t="inlineStr">
        <is>
          <t>Maharashtra</t>
        </is>
      </c>
      <c r="E7" s="18" t="n">
        <v>183.6</v>
      </c>
      <c r="F7" s="21" t="n">
        <v>0.7603</v>
      </c>
      <c r="G7" s="16" t="n">
        <v>1</v>
      </c>
      <c r="H7" s="16" t="inlineStr">
        <is>
          <t>Byculla</t>
        </is>
      </c>
      <c r="I7" s="61" t="n">
        <v>-4.4249197</v>
      </c>
      <c r="J7" s="19" t="n">
        <v>1131</v>
      </c>
      <c r="K7" s="53" t="n">
        <v>6.16</v>
      </c>
      <c r="L7" s="16" t="n">
        <v>2</v>
      </c>
      <c r="M7" s="31" t="n">
        <v>8.66</v>
      </c>
      <c r="N7" s="16" t="inlineStr">
        <is>
          <t>Defer new MFCs: no configuration has positive NPV at today's 184 parcels/day. Least-negative option p=1 (Byculla) breaks even at 6.2x volume (~1131 parcels/day).</t>
        </is>
      </c>
    </row>
    <row r="8">
      <c r="B8" s="10" t="n">
        <v>3</v>
      </c>
      <c r="C8" s="10" t="inlineStr">
        <is>
          <t>Kolkata</t>
        </is>
      </c>
      <c r="D8" s="10" t="inlineStr">
        <is>
          <t>West Bengal</t>
        </is>
      </c>
      <c r="E8" s="12" t="n">
        <v>106.5</v>
      </c>
      <c r="F8" s="15" t="n">
        <v>0.9811</v>
      </c>
      <c r="G8" s="10" t="n">
        <v>1</v>
      </c>
      <c r="H8" s="10" t="inlineStr">
        <is>
          <t>Park Circus</t>
        </is>
      </c>
      <c r="I8" s="60" t="n">
        <v>-3.3202547</v>
      </c>
      <c r="J8" s="13" t="n">
        <v>673</v>
      </c>
      <c r="K8" s="52" t="n">
        <v>6.32</v>
      </c>
      <c r="L8" s="10" t="n">
        <v>1</v>
      </c>
      <c r="M8" s="29" t="n">
        <v>10.52</v>
      </c>
      <c r="N8" s="10" t="inlineStr">
        <is>
          <t>Defer new MFCs: no configuration has positive NPV at today's 106 parcels/day. Least-negative option p=1 (Park Circus) breaks even at 6.3x volume (~673 parcels/day).</t>
        </is>
      </c>
    </row>
    <row r="9">
      <c r="B9" s="16" t="n">
        <v>4</v>
      </c>
      <c r="C9" s="16" t="inlineStr">
        <is>
          <t>Bengaluru</t>
        </is>
      </c>
      <c r="D9" s="16" t="inlineStr">
        <is>
          <t>Karnataka</t>
        </is>
      </c>
      <c r="E9" s="18" t="n">
        <v>154.1</v>
      </c>
      <c r="F9" s="21" t="n">
        <v>0.9327</v>
      </c>
      <c r="G9" s="16" t="n">
        <v>1</v>
      </c>
      <c r="H9" s="16" t="inlineStr">
        <is>
          <t>Hebbal</t>
        </is>
      </c>
      <c r="I9" s="61" t="n">
        <v>-3.4995517</v>
      </c>
      <c r="J9" s="19" t="n">
        <v>1303</v>
      </c>
      <c r="K9" s="53" t="n">
        <v>8.460000000000001</v>
      </c>
      <c r="L9" s="16" t="n"/>
      <c r="M9" s="31" t="n">
        <v>11.75</v>
      </c>
      <c r="N9" s="16" t="inlineStr">
        <is>
          <t>Defer new MFCs: no configuration has positive NPV at today's 154 parcels/day. Least-negative option p=1 (Hebbal) breaks even at 8.5x volume (~1303 parcels/day).</t>
        </is>
      </c>
    </row>
    <row r="10">
      <c r="B10" s="10" t="n">
        <v>5</v>
      </c>
      <c r="C10" s="10" t="inlineStr">
        <is>
          <t>Chennai</t>
        </is>
      </c>
      <c r="D10" s="10" t="inlineStr">
        <is>
          <t>Tamil Nadu</t>
        </is>
      </c>
      <c r="E10" s="12" t="n">
        <v>126.9</v>
      </c>
      <c r="F10" s="15" t="n">
        <v>0.8994</v>
      </c>
      <c r="G10" s="10" t="n">
        <v>1</v>
      </c>
      <c r="H10" s="10" t="inlineStr">
        <is>
          <t>Kolathur</t>
        </is>
      </c>
      <c r="I10" s="60" t="n">
        <v>-3.1325883</v>
      </c>
      <c r="J10" s="13" t="n">
        <v>1445</v>
      </c>
      <c r="K10" s="52" t="n">
        <v>11.39</v>
      </c>
      <c r="L10" s="10" t="n"/>
      <c r="M10" s="29" t="n">
        <v>8.640000000000001</v>
      </c>
      <c r="N10" s="10" t="inlineStr">
        <is>
          <t>Defer new MFCs: no configuration has positive NPV at today's 127 parcels/day. Least-negative option p=1 (Kolathur) breaks even at 11.4x volume (~1445 parcels/day).</t>
        </is>
      </c>
    </row>
    <row r="13">
      <c r="B13" s="7" t="inlineStr">
        <is>
          <t>Average last-mile km per parcel vs number of new MFCs</t>
        </is>
      </c>
      <c r="C13" s="8" t="n"/>
      <c r="D13" s="8" t="n"/>
      <c r="E13" s="8" t="n"/>
      <c r="F13" s="8" t="n"/>
      <c r="G13" s="8" t="n"/>
      <c r="H13" s="8" t="n"/>
    </row>
    <row r="14" ht="30" customHeight="1">
      <c r="B14" s="9" t="inlineStr">
        <is>
          <t>New MFCs (p)</t>
        </is>
      </c>
      <c r="C14" s="9" t="inlineStr">
        <is>
          <t>Mumbai MMR</t>
        </is>
      </c>
      <c r="D14" s="9" t="inlineStr">
        <is>
          <t>Delhi NCR</t>
        </is>
      </c>
      <c r="E14" s="9" t="inlineStr">
        <is>
          <t>Bengaluru</t>
        </is>
      </c>
      <c r="F14" s="9" t="inlineStr">
        <is>
          <t>Chennai</t>
        </is>
      </c>
      <c r="G14" s="9" t="inlineStr">
        <is>
          <t>Kolkata</t>
        </is>
      </c>
    </row>
    <row r="15">
      <c r="B15" s="10" t="n">
        <v>0</v>
      </c>
      <c r="C15" s="11" t="n">
        <v>11.89</v>
      </c>
      <c r="D15" s="11" t="n">
        <v>18.77</v>
      </c>
      <c r="E15" s="11" t="n">
        <v>9.75</v>
      </c>
      <c r="F15" s="11" t="n">
        <v>10.11</v>
      </c>
      <c r="G15" s="11" t="n">
        <v>9.880000000000001</v>
      </c>
    </row>
    <row r="16">
      <c r="B16" s="16" t="n">
        <v>1</v>
      </c>
      <c r="C16" s="17" t="n">
        <v>8.390000000000001</v>
      </c>
      <c r="D16" s="17" t="n">
        <v>12.46</v>
      </c>
      <c r="E16" s="17" t="n">
        <v>8.07</v>
      </c>
      <c r="F16" s="17" t="n">
        <v>8.33</v>
      </c>
      <c r="G16" s="17" t="n">
        <v>6.26</v>
      </c>
    </row>
    <row r="17">
      <c r="B17" s="10" t="n">
        <v>2</v>
      </c>
      <c r="C17" s="11" t="n">
        <v>5.82</v>
      </c>
      <c r="D17" s="11" t="n">
        <v>7.97</v>
      </c>
      <c r="E17" s="11" t="n">
        <v>6.58</v>
      </c>
      <c r="F17" s="11" t="n">
        <v>7.03</v>
      </c>
      <c r="G17" s="11" t="n">
        <v>5.19</v>
      </c>
    </row>
    <row r="18">
      <c r="B18" s="16" t="n">
        <v>3</v>
      </c>
      <c r="C18" s="17" t="n">
        <v>5.27</v>
      </c>
      <c r="D18" s="17" t="n">
        <v>6.56</v>
      </c>
      <c r="E18" s="17" t="n">
        <v>5.84</v>
      </c>
      <c r="F18" s="17" t="n">
        <v>5.79</v>
      </c>
      <c r="G18" s="17" t="n">
        <v>4.48</v>
      </c>
    </row>
    <row r="19">
      <c r="B19" s="10" t="n">
        <v>4</v>
      </c>
      <c r="C19" s="11" t="n">
        <v>4.77</v>
      </c>
      <c r="D19" s="11" t="n">
        <v>5.29</v>
      </c>
      <c r="E19" s="11" t="n">
        <v>5.2</v>
      </c>
      <c r="F19" s="11" t="n">
        <v>4.83</v>
      </c>
      <c r="G19" s="11" t="n">
        <v>3.93</v>
      </c>
    </row>
    <row r="20">
      <c r="B20" s="16" t="n">
        <v>5</v>
      </c>
      <c r="C20" s="17" t="n">
        <v>4.67</v>
      </c>
      <c r="D20" s="17" t="n">
        <v>4.83</v>
      </c>
      <c r="E20" s="17" t="n">
        <v>4.57</v>
      </c>
      <c r="F20" s="17" t="n">
        <v>4.46</v>
      </c>
      <c r="G20" s="17" t="n">
        <v>3.39</v>
      </c>
    </row>
    <row r="30">
      <c r="B30" s="7" t="inlineStr">
        <is>
          <t>2-hour SLA coverage vs number of new MFCs</t>
        </is>
      </c>
      <c r="C30" s="8" t="n"/>
      <c r="D30" s="8" t="n"/>
      <c r="E30" s="8" t="n"/>
      <c r="F30" s="8" t="n"/>
      <c r="G30" s="8" t="n"/>
      <c r="H30" s="8" t="n"/>
    </row>
    <row r="31" ht="30" customHeight="1">
      <c r="B31" s="9" t="inlineStr">
        <is>
          <t>New MFCs (p)</t>
        </is>
      </c>
      <c r="C31" s="9" t="inlineStr">
        <is>
          <t>Mumbai MMR</t>
        </is>
      </c>
      <c r="D31" s="9" t="inlineStr">
        <is>
          <t>Delhi NCR</t>
        </is>
      </c>
      <c r="E31" s="9" t="inlineStr">
        <is>
          <t>Bengaluru</t>
        </is>
      </c>
      <c r="F31" s="9" t="inlineStr">
        <is>
          <t>Chennai</t>
        </is>
      </c>
      <c r="G31" s="9" t="inlineStr">
        <is>
          <t>Kolkata</t>
        </is>
      </c>
    </row>
    <row r="32">
      <c r="B32" s="10" t="n">
        <v>0</v>
      </c>
      <c r="C32" s="15" t="n">
        <v>0.7603</v>
      </c>
      <c r="D32" s="15" t="n">
        <v>0.4189</v>
      </c>
      <c r="E32" s="15" t="n">
        <v>0.9327</v>
      </c>
      <c r="F32" s="15" t="n">
        <v>0.8994</v>
      </c>
      <c r="G32" s="15" t="n">
        <v>0.9811</v>
      </c>
    </row>
    <row r="33">
      <c r="B33" s="16" t="n">
        <v>1</v>
      </c>
      <c r="C33" s="21" t="n">
        <v>0.9258</v>
      </c>
      <c r="D33" s="21" t="n">
        <v>0.7732</v>
      </c>
      <c r="E33" s="21" t="n">
        <v>0.9327</v>
      </c>
      <c r="F33" s="21" t="n">
        <v>0.9294</v>
      </c>
      <c r="G33" s="21" t="n">
        <v>1</v>
      </c>
    </row>
    <row r="34">
      <c r="B34" s="10" t="n">
        <v>2</v>
      </c>
      <c r="C34" s="15" t="n">
        <v>1</v>
      </c>
      <c r="D34" s="15" t="n">
        <v>0.9585</v>
      </c>
      <c r="E34" s="15" t="n">
        <v>0.9619</v>
      </c>
      <c r="F34" s="15" t="n">
        <v>0.9294</v>
      </c>
      <c r="G34" s="15" t="n">
        <v>1</v>
      </c>
    </row>
    <row r="35">
      <c r="B35" s="16" t="n">
        <v>3</v>
      </c>
      <c r="C35" s="21" t="n">
        <v>1</v>
      </c>
      <c r="D35" s="21" t="n">
        <v>1</v>
      </c>
      <c r="E35" s="21" t="n">
        <v>0.9886</v>
      </c>
      <c r="F35" s="21" t="n">
        <v>0.9368</v>
      </c>
      <c r="G35" s="21" t="n">
        <v>1</v>
      </c>
    </row>
    <row r="36">
      <c r="B36" s="10" t="n">
        <v>4</v>
      </c>
      <c r="C36" s="15" t="n">
        <v>1</v>
      </c>
      <c r="D36" s="15" t="n">
        <v>1</v>
      </c>
      <c r="E36" s="15" t="n">
        <v>0.9886</v>
      </c>
      <c r="F36" s="15" t="n">
        <v>0.9842</v>
      </c>
      <c r="G36" s="15" t="n">
        <v>1</v>
      </c>
    </row>
    <row r="37">
      <c r="B37" s="16" t="n">
        <v>5</v>
      </c>
      <c r="C37" s="21" t="n">
        <v>1</v>
      </c>
      <c r="D37" s="21" t="n">
        <v>1</v>
      </c>
      <c r="E37" s="21" t="n">
        <v>0.9886</v>
      </c>
      <c r="F37" s="21" t="n">
        <v>0.9842</v>
      </c>
      <c r="G37" s="21" t="n">
        <v>1</v>
      </c>
    </row>
    <row r="47">
      <c r="B47" s="7" t="inlineStr">
        <is>
          <t>Five-year NPV vs number of new MFCs (₹)</t>
        </is>
      </c>
      <c r="C47" s="8" t="n"/>
      <c r="D47" s="8" t="n"/>
      <c r="E47" s="8" t="n"/>
      <c r="F47" s="8" t="n"/>
      <c r="G47" s="8" t="n"/>
      <c r="H47" s="8" t="n"/>
    </row>
    <row r="48" ht="30" customHeight="1">
      <c r="B48" s="9" t="inlineStr">
        <is>
          <t>New MFCs (p)</t>
        </is>
      </c>
      <c r="C48" s="9" t="inlineStr">
        <is>
          <t>Mumbai MMR</t>
        </is>
      </c>
      <c r="D48" s="9" t="inlineStr">
        <is>
          <t>Delhi NCR</t>
        </is>
      </c>
      <c r="E48" s="9" t="inlineStr">
        <is>
          <t>Bengaluru</t>
        </is>
      </c>
      <c r="F48" s="9" t="inlineStr">
        <is>
          <t>Chennai</t>
        </is>
      </c>
      <c r="G48" s="9" t="inlineStr">
        <is>
          <t>Kolkata</t>
        </is>
      </c>
    </row>
    <row r="49">
      <c r="B49" s="10" t="n">
        <v>0</v>
      </c>
      <c r="C49" s="30" t="n">
        <v>0</v>
      </c>
      <c r="D49" s="30" t="n">
        <v>0</v>
      </c>
      <c r="E49" s="30" t="n">
        <v>0</v>
      </c>
      <c r="F49" s="30" t="n">
        <v>0</v>
      </c>
      <c r="G49" s="30" t="n">
        <v>0</v>
      </c>
    </row>
    <row r="50">
      <c r="B50" s="16" t="n">
        <v>1</v>
      </c>
      <c r="C50" s="32" t="n">
        <v>-44249197</v>
      </c>
      <c r="D50" s="32" t="n">
        <v>-27129032</v>
      </c>
      <c r="E50" s="32" t="n">
        <v>-34995517</v>
      </c>
      <c r="F50" s="32" t="n">
        <v>-31325883</v>
      </c>
      <c r="G50" s="32" t="n">
        <v>-33202547</v>
      </c>
    </row>
    <row r="51">
      <c r="B51" s="10" t="n">
        <v>2</v>
      </c>
      <c r="C51" s="30" t="n">
        <v>-70147415</v>
      </c>
      <c r="D51" s="30" t="n">
        <v>-69457734</v>
      </c>
      <c r="E51" s="30" t="n">
        <v>-67674681</v>
      </c>
      <c r="F51" s="30" t="n">
        <v>-77813458</v>
      </c>
      <c r="G51" s="30" t="n">
        <v>-54028110</v>
      </c>
    </row>
    <row r="52">
      <c r="B52" s="16" t="n">
        <v>3</v>
      </c>
      <c r="C52" s="32" t="n">
        <v>-112557241</v>
      </c>
      <c r="D52" s="32" t="n">
        <v>-108271464</v>
      </c>
      <c r="E52" s="32" t="n">
        <v>-112153225</v>
      </c>
      <c r="F52" s="32" t="n">
        <v>-115688907</v>
      </c>
      <c r="G52" s="32" t="n">
        <v>-91505772</v>
      </c>
    </row>
    <row r="53">
      <c r="B53" s="10" t="n">
        <v>4</v>
      </c>
      <c r="C53" s="30" t="n">
        <v>-142593605</v>
      </c>
      <c r="D53" s="30" t="n">
        <v>-160116945</v>
      </c>
      <c r="E53" s="30" t="n">
        <v>-144604859</v>
      </c>
      <c r="F53" s="30" t="n">
        <v>-143673555</v>
      </c>
      <c r="G53" s="30" t="n">
        <v>-115100916</v>
      </c>
    </row>
    <row r="54">
      <c r="B54" s="16" t="n">
        <v>5</v>
      </c>
      <c r="C54" s="32" t="n">
        <v>-185219565</v>
      </c>
      <c r="D54" s="32" t="n">
        <v>-208405375</v>
      </c>
      <c r="E54" s="32" t="n">
        <v>-191840238</v>
      </c>
      <c r="F54" s="32" t="n">
        <v>-187667700</v>
      </c>
      <c r="G54" s="32" t="n">
        <v>-141584730</v>
      </c>
    </row>
    <row r="64">
      <c r="B64" s="7" t="inlineStr">
        <is>
          <t>All configurations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 ht="30" customHeight="1">
      <c r="B65" s="9" t="inlineStr">
        <is>
          <t>City</t>
        </is>
      </c>
      <c r="C65" s="9" t="inlineStr">
        <is>
          <t>p</t>
        </is>
      </c>
      <c r="D65" s="9" t="inlineStr">
        <is>
          <t>Sites</t>
        </is>
      </c>
      <c r="E65" s="9" t="inlineStr">
        <is>
          <t>Km/parcel</t>
        </is>
      </c>
      <c r="F65" s="9" t="inlineStr">
        <is>
          <t>2h SLA</t>
        </is>
      </c>
      <c r="G65" s="9" t="inlineStr">
        <is>
          <t>MFC parcels/day</t>
        </is>
      </c>
      <c r="H65" s="9" t="inlineStr">
        <is>
          <t>Capex ₹</t>
        </is>
      </c>
      <c r="I65" s="9" t="inlineStr">
        <is>
          <t>Opex ₹/yr</t>
        </is>
      </c>
      <c r="J65" s="9" t="inlineStr">
        <is>
          <t>Line-haul ₹/yr</t>
        </is>
      </c>
      <c r="K65" s="9" t="inlineStr">
        <is>
          <t>Saving Y1 ₹</t>
        </is>
      </c>
      <c r="L65" s="9" t="inlineStr">
        <is>
          <t>NPV ₹</t>
        </is>
      </c>
      <c r="M65" s="9" t="inlineStr">
        <is>
          <t>Break-even parcels/day</t>
        </is>
      </c>
      <c r="N65" s="9" t="inlineStr">
        <is>
          <t>Solver</t>
        </is>
      </c>
    </row>
    <row r="66">
      <c r="B66" s="10" t="inlineStr">
        <is>
          <t>Mumbai MMR</t>
        </is>
      </c>
      <c r="C66" s="10" t="n">
        <v>0</v>
      </c>
      <c r="D66" s="10" t="inlineStr">
        <is>
          <t>Current network</t>
        </is>
      </c>
      <c r="E66" s="11" t="n">
        <v>11.89</v>
      </c>
      <c r="F66" s="15" t="n">
        <v>0.7603</v>
      </c>
      <c r="G66" s="12" t="n">
        <v>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M66" s="13" t="n"/>
      <c r="N66" s="10" t="inlineStr">
        <is>
          <t>n/a</t>
        </is>
      </c>
    </row>
    <row r="67">
      <c r="B67" s="16" t="inlineStr">
        <is>
          <t>Mumbai MMR</t>
        </is>
      </c>
      <c r="C67" s="16" t="n">
        <v>1</v>
      </c>
      <c r="D67" s="16" t="inlineStr">
        <is>
          <t>Byculla</t>
        </is>
      </c>
      <c r="E67" s="17" t="n">
        <v>8.390000000000001</v>
      </c>
      <c r="F67" s="21" t="n">
        <v>0.9258</v>
      </c>
      <c r="G67" s="18" t="n">
        <v>31.3</v>
      </c>
      <c r="H67" s="32" t="n">
        <v>6500000</v>
      </c>
      <c r="I67" s="32" t="n">
        <v>10680000</v>
      </c>
      <c r="J67" s="32" t="n">
        <v>2170332</v>
      </c>
      <c r="K67" s="32" t="n">
        <v>1725400</v>
      </c>
      <c r="L67" s="32" t="n">
        <v>-44249197</v>
      </c>
      <c r="M67" s="19" t="n">
        <v>1131</v>
      </c>
      <c r="N67" s="16" t="inlineStr">
        <is>
          <t>Optimal</t>
        </is>
      </c>
    </row>
    <row r="68">
      <c r="B68" s="10" t="inlineStr">
        <is>
          <t>Mumbai MMR</t>
        </is>
      </c>
      <c r="C68" s="10" t="n">
        <v>2</v>
      </c>
      <c r="D68" s="10" t="inlineStr">
        <is>
          <t>Thane Majiwada, Byculla</t>
        </is>
      </c>
      <c r="E68" s="11" t="n">
        <v>5.82</v>
      </c>
      <c r="F68" s="15" t="n">
        <v>1</v>
      </c>
      <c r="G68" s="12" t="n">
        <v>81</v>
      </c>
      <c r="H68" s="30" t="n">
        <v>13000000</v>
      </c>
      <c r="I68" s="30" t="n">
        <v>17310000</v>
      </c>
      <c r="J68" s="30" t="n">
        <v>2666674</v>
      </c>
      <c r="K68" s="30" t="n">
        <v>2991399</v>
      </c>
      <c r="L68" s="30" t="n">
        <v>-70147415</v>
      </c>
      <c r="M68" s="13" t="n">
        <v>1050</v>
      </c>
      <c r="N68" s="10" t="inlineStr">
        <is>
          <t>Optimal</t>
        </is>
      </c>
    </row>
    <row r="69">
      <c r="B69" s="16" t="inlineStr">
        <is>
          <t>Mumbai MMR</t>
        </is>
      </c>
      <c r="C69" s="16" t="n">
        <v>3</v>
      </c>
      <c r="D69" s="16" t="inlineStr">
        <is>
          <t>Kurla, Thane Majiwada, Byculla</t>
        </is>
      </c>
      <c r="E69" s="17" t="n">
        <v>5.27</v>
      </c>
      <c r="F69" s="21" t="n">
        <v>1</v>
      </c>
      <c r="G69" s="18" t="n">
        <v>116.6</v>
      </c>
      <c r="H69" s="32" t="n">
        <v>19500000</v>
      </c>
      <c r="I69" s="32" t="n">
        <v>26100000</v>
      </c>
      <c r="J69" s="32" t="n">
        <v>4214114</v>
      </c>
      <c r="K69" s="32" t="n">
        <v>3263960</v>
      </c>
      <c r="L69" s="32" t="n">
        <v>-112557241</v>
      </c>
      <c r="M69" s="19" t="n">
        <v>1458</v>
      </c>
      <c r="N69" s="16" t="inlineStr">
        <is>
          <t>Optimal</t>
        </is>
      </c>
    </row>
    <row r="70">
      <c r="B70" s="10" t="inlineStr">
        <is>
          <t>Mumbai MMR</t>
        </is>
      </c>
      <c r="C70" s="10" t="n">
        <v>4</v>
      </c>
      <c r="D70" s="10" t="inlineStr">
        <is>
          <t>Kurla, Thane Majiwada, Airoli, Byculla</t>
        </is>
      </c>
      <c r="E70" s="11" t="n">
        <v>4.77</v>
      </c>
      <c r="F70" s="15" t="n">
        <v>1</v>
      </c>
      <c r="G70" s="12" t="n">
        <v>116.6</v>
      </c>
      <c r="H70" s="30" t="n">
        <v>26000000</v>
      </c>
      <c r="I70" s="30" t="n">
        <v>32190000</v>
      </c>
      <c r="J70" s="30" t="n">
        <v>4993583</v>
      </c>
      <c r="K70" s="30" t="n">
        <v>3510801</v>
      </c>
      <c r="L70" s="30" t="n">
        <v>-142593605</v>
      </c>
      <c r="M70" s="13" t="n">
        <v>1684</v>
      </c>
      <c r="N70" s="10" t="inlineStr">
        <is>
          <t>Optimal</t>
        </is>
      </c>
    </row>
    <row r="71">
      <c r="B71" s="16" t="inlineStr">
        <is>
          <t>Mumbai MMR</t>
        </is>
      </c>
      <c r="C71" s="16" t="n">
        <v>5</v>
      </c>
      <c r="D71" s="16" t="inlineStr">
        <is>
          <t>Goregaon East, Kurla, Thane Majiwada, Airoli, Byculla</t>
        </is>
      </c>
      <c r="E71" s="17" t="n">
        <v>4.67</v>
      </c>
      <c r="F71" s="21" t="n">
        <v>1</v>
      </c>
      <c r="G71" s="18" t="n">
        <v>130</v>
      </c>
      <c r="H71" s="32" t="n">
        <v>32500000</v>
      </c>
      <c r="I71" s="32" t="n">
        <v>40980000</v>
      </c>
      <c r="J71" s="32" t="n">
        <v>6290014</v>
      </c>
      <c r="K71" s="32" t="n">
        <v>3557766</v>
      </c>
      <c r="L71" s="32" t="n">
        <v>-185219565</v>
      </c>
      <c r="M71" s="19" t="n">
        <v>2107</v>
      </c>
      <c r="N71" s="16" t="inlineStr">
        <is>
          <t>Optimal</t>
        </is>
      </c>
    </row>
    <row r="72">
      <c r="B72" s="10" t="inlineStr">
        <is>
          <t>Delhi NCR</t>
        </is>
      </c>
      <c r="C72" s="10" t="n">
        <v>0</v>
      </c>
      <c r="D72" s="10" t="inlineStr">
        <is>
          <t>Current network</t>
        </is>
      </c>
      <c r="E72" s="11" t="n">
        <v>18.77</v>
      </c>
      <c r="F72" s="15" t="n">
        <v>0.4189</v>
      </c>
      <c r="G72" s="12" t="n">
        <v>0</v>
      </c>
      <c r="H72" s="30" t="n">
        <v>0</v>
      </c>
      <c r="I72" s="30" t="n">
        <v>0</v>
      </c>
      <c r="J72" s="30" t="n">
        <v>0</v>
      </c>
      <c r="K72" s="30" t="n">
        <v>0</v>
      </c>
      <c r="L72" s="30" t="n">
        <v>0</v>
      </c>
      <c r="M72" s="13" t="n"/>
      <c r="N72" s="10" t="inlineStr">
        <is>
          <t>n/a</t>
        </is>
      </c>
    </row>
    <row r="73">
      <c r="B73" s="16" t="inlineStr">
        <is>
          <t>Delhi NCR</t>
        </is>
      </c>
      <c r="C73" s="16" t="n">
        <v>1</v>
      </c>
      <c r="D73" s="16" t="inlineStr">
        <is>
          <t>Mayapuri</t>
        </is>
      </c>
      <c r="E73" s="17" t="n">
        <v>12.46</v>
      </c>
      <c r="F73" s="21" t="n">
        <v>0.7732</v>
      </c>
      <c r="G73" s="18" t="n">
        <v>98.3</v>
      </c>
      <c r="H73" s="32" t="n">
        <v>6500000</v>
      </c>
      <c r="I73" s="32" t="n">
        <v>7440000</v>
      </c>
      <c r="J73" s="32" t="n">
        <v>2372642</v>
      </c>
      <c r="K73" s="32" t="n">
        <v>2967113</v>
      </c>
      <c r="L73" s="32" t="n">
        <v>-27129032</v>
      </c>
      <c r="M73" s="19" t="n">
        <v>551</v>
      </c>
      <c r="N73" s="16" t="inlineStr">
        <is>
          <t>Optimal</t>
        </is>
      </c>
    </row>
    <row r="74">
      <c r="B74" s="10" t="inlineStr">
        <is>
          <t>Delhi NCR</t>
        </is>
      </c>
      <c r="C74" s="10" t="n">
        <v>2</v>
      </c>
      <c r="D74" s="10" t="inlineStr">
        <is>
          <t>Karol Bagh, Gurugram Sector 44</t>
        </is>
      </c>
      <c r="E74" s="11" t="n">
        <v>7.97</v>
      </c>
      <c r="F74" s="15" t="n">
        <v>0.9585</v>
      </c>
      <c r="G74" s="12" t="n">
        <v>127.4</v>
      </c>
      <c r="H74" s="30" t="n">
        <v>13000000</v>
      </c>
      <c r="I74" s="30" t="n">
        <v>18660000</v>
      </c>
      <c r="J74" s="30" t="n">
        <v>4000958</v>
      </c>
      <c r="K74" s="30" t="n">
        <v>5077552</v>
      </c>
      <c r="L74" s="30" t="n">
        <v>-69457734</v>
      </c>
      <c r="M74" s="13" t="n">
        <v>728</v>
      </c>
      <c r="N74" s="10" t="inlineStr">
        <is>
          <t>Optimal</t>
        </is>
      </c>
    </row>
    <row r="75">
      <c r="B75" s="16" t="inlineStr">
        <is>
          <t>Delhi NCR</t>
        </is>
      </c>
      <c r="C75" s="16" t="n">
        <v>3</v>
      </c>
      <c r="D75" s="16" t="inlineStr">
        <is>
          <t>Karol Bagh, Janakpuri, Gurugram Sector 44</t>
        </is>
      </c>
      <c r="E75" s="17" t="n">
        <v>6.56</v>
      </c>
      <c r="F75" s="21" t="n">
        <v>1</v>
      </c>
      <c r="G75" s="18" t="n">
        <v>127.4</v>
      </c>
      <c r="H75" s="32" t="n">
        <v>19500000</v>
      </c>
      <c r="I75" s="32" t="n">
        <v>26370000</v>
      </c>
      <c r="J75" s="32" t="n">
        <v>6172302</v>
      </c>
      <c r="K75" s="32" t="n">
        <v>5742949</v>
      </c>
      <c r="L75" s="32" t="n">
        <v>-108271464</v>
      </c>
      <c r="M75" s="19" t="n">
        <v>930</v>
      </c>
      <c r="N75" s="16" t="inlineStr">
        <is>
          <t>Optimal</t>
        </is>
      </c>
    </row>
    <row r="76">
      <c r="B76" s="10" t="inlineStr">
        <is>
          <t>Delhi NCR</t>
        </is>
      </c>
      <c r="C76" s="10" t="n">
        <v>4</v>
      </c>
      <c r="D76" s="10" t="inlineStr">
        <is>
          <t>Saket, Karol Bagh, Janakpuri, Gurugram Sector 44</t>
        </is>
      </c>
      <c r="E76" s="11" t="n">
        <v>5.29</v>
      </c>
      <c r="F76" s="15" t="n">
        <v>1</v>
      </c>
      <c r="G76" s="12" t="n">
        <v>151.7</v>
      </c>
      <c r="H76" s="30" t="n">
        <v>26000000</v>
      </c>
      <c r="I76" s="30" t="n">
        <v>37590000</v>
      </c>
      <c r="J76" s="30" t="n">
        <v>8351414</v>
      </c>
      <c r="K76" s="30" t="n">
        <v>6337710</v>
      </c>
      <c r="L76" s="30" t="n">
        <v>-160116945</v>
      </c>
      <c r="M76" s="13" t="n">
        <v>1180</v>
      </c>
      <c r="N76" s="10" t="inlineStr">
        <is>
          <t>Optimal</t>
        </is>
      </c>
    </row>
    <row r="77">
      <c r="B77" s="16" t="inlineStr">
        <is>
          <t>Delhi NCR</t>
        </is>
      </c>
      <c r="C77" s="16" t="n">
        <v>5</v>
      </c>
      <c r="D77" s="16" t="inlineStr">
        <is>
          <t>Saket, Karol Bagh, Janakpuri, Gurugram Sector 44, Noida Sector 18</t>
        </is>
      </c>
      <c r="E77" s="17" t="n">
        <v>4.83</v>
      </c>
      <c r="F77" s="21" t="n">
        <v>1</v>
      </c>
      <c r="G77" s="18" t="n">
        <v>167.4</v>
      </c>
      <c r="H77" s="32" t="n">
        <v>32500000</v>
      </c>
      <c r="I77" s="32" t="n">
        <v>46650000</v>
      </c>
      <c r="J77" s="32" t="n">
        <v>11182654</v>
      </c>
      <c r="K77" s="32" t="n">
        <v>6554422</v>
      </c>
      <c r="L77" s="32" t="n">
        <v>-208405375</v>
      </c>
      <c r="M77" s="19" t="n">
        <v>1435</v>
      </c>
      <c r="N77" s="16" t="inlineStr">
        <is>
          <t>Optimal</t>
        </is>
      </c>
    </row>
    <row r="78">
      <c r="B78" s="10" t="inlineStr">
        <is>
          <t>Bengaluru</t>
        </is>
      </c>
      <c r="C78" s="10" t="n">
        <v>0</v>
      </c>
      <c r="D78" s="10" t="inlineStr">
        <is>
          <t>Current network</t>
        </is>
      </c>
      <c r="E78" s="11" t="n">
        <v>9.75</v>
      </c>
      <c r="F78" s="15" t="n">
        <v>0.9327</v>
      </c>
      <c r="G78" s="12" t="n">
        <v>0</v>
      </c>
      <c r="H78" s="30" t="n">
        <v>0</v>
      </c>
      <c r="I78" s="30" t="n">
        <v>0</v>
      </c>
      <c r="J78" s="30" t="n">
        <v>0</v>
      </c>
      <c r="K78" s="30" t="n">
        <v>0</v>
      </c>
      <c r="L78" s="30" t="n">
        <v>0</v>
      </c>
      <c r="M78" s="13" t="n"/>
      <c r="N78" s="10" t="inlineStr">
        <is>
          <t>n/a</t>
        </is>
      </c>
    </row>
    <row r="79">
      <c r="B79" s="16" t="inlineStr">
        <is>
          <t>Bengaluru</t>
        </is>
      </c>
      <c r="C79" s="16" t="n">
        <v>1</v>
      </c>
      <c r="D79" s="16" t="inlineStr">
        <is>
          <t>Hebbal</t>
        </is>
      </c>
      <c r="E79" s="17" t="n">
        <v>8.07</v>
      </c>
      <c r="F79" s="21" t="n">
        <v>0.9327</v>
      </c>
      <c r="G79" s="18" t="n">
        <v>48.1</v>
      </c>
      <c r="H79" s="32" t="n">
        <v>6500000</v>
      </c>
      <c r="I79" s="32" t="n">
        <v>8022000</v>
      </c>
      <c r="J79" s="32" t="n">
        <v>1184809</v>
      </c>
      <c r="K79" s="32" t="n">
        <v>944465</v>
      </c>
      <c r="L79" s="32" t="n">
        <v>-34995517</v>
      </c>
      <c r="M79" s="19" t="n">
        <v>1303</v>
      </c>
      <c r="N79" s="16" t="inlineStr">
        <is>
          <t>Optimal</t>
        </is>
      </c>
    </row>
    <row r="80">
      <c r="B80" s="10" t="inlineStr">
        <is>
          <t>Bengaluru</t>
        </is>
      </c>
      <c r="C80" s="10" t="n">
        <v>2</v>
      </c>
      <c r="D80" s="10" t="inlineStr">
        <is>
          <t>Whitefield, Hebbal</t>
        </is>
      </c>
      <c r="E80" s="11" t="n">
        <v>6.58</v>
      </c>
      <c r="F80" s="15" t="n">
        <v>0.9619</v>
      </c>
      <c r="G80" s="12" t="n">
        <v>68.59999999999999</v>
      </c>
      <c r="H80" s="30" t="n">
        <v>13000000</v>
      </c>
      <c r="I80" s="30" t="n">
        <v>15774000</v>
      </c>
      <c r="J80" s="30" t="n">
        <v>1842377</v>
      </c>
      <c r="K80" s="30" t="n">
        <v>1776727</v>
      </c>
      <c r="L80" s="30" t="n">
        <v>-67674681</v>
      </c>
      <c r="M80" s="13" t="n">
        <v>1335</v>
      </c>
      <c r="N80" s="10" t="inlineStr">
        <is>
          <t>Optimal</t>
        </is>
      </c>
    </row>
    <row r="81">
      <c r="B81" s="16" t="inlineStr">
        <is>
          <t>Bengaluru</t>
        </is>
      </c>
      <c r="C81" s="16" t="n">
        <v>3</v>
      </c>
      <c r="D81" s="16" t="inlineStr">
        <is>
          <t>Whitefield, Hebbal, Jayanagar</t>
        </is>
      </c>
      <c r="E81" s="17" t="n">
        <v>5.84</v>
      </c>
      <c r="F81" s="21" t="n">
        <v>0.9886</v>
      </c>
      <c r="G81" s="18" t="n">
        <v>107.6</v>
      </c>
      <c r="H81" s="32" t="n">
        <v>19500000</v>
      </c>
      <c r="I81" s="32" t="n">
        <v>25416000</v>
      </c>
      <c r="J81" s="32" t="n">
        <v>3312609</v>
      </c>
      <c r="K81" s="32" t="n">
        <v>2195041</v>
      </c>
      <c r="L81" s="32" t="n">
        <v>-112153225</v>
      </c>
      <c r="M81" s="19" t="n">
        <v>1739</v>
      </c>
      <c r="N81" s="16" t="inlineStr">
        <is>
          <t>Optimal</t>
        </is>
      </c>
    </row>
    <row r="82">
      <c r="B82" s="10" t="inlineStr">
        <is>
          <t>Bengaluru</t>
        </is>
      </c>
      <c r="C82" s="10" t="n">
        <v>4</v>
      </c>
      <c r="D82" s="10" t="inlineStr">
        <is>
          <t>Whitefield, Hebbal, Jayanagar, Electronic City</t>
        </is>
      </c>
      <c r="E82" s="11" t="n">
        <v>5.2</v>
      </c>
      <c r="F82" s="15" t="n">
        <v>0.9886</v>
      </c>
      <c r="G82" s="12" t="n">
        <v>114.8</v>
      </c>
      <c r="H82" s="30" t="n">
        <v>26000000</v>
      </c>
      <c r="I82" s="30" t="n">
        <v>31548000</v>
      </c>
      <c r="J82" s="30" t="n">
        <v>4873978</v>
      </c>
      <c r="K82" s="30" t="n">
        <v>2553517</v>
      </c>
      <c r="L82" s="30" t="n">
        <v>-144604859</v>
      </c>
      <c r="M82" s="13" t="n">
        <v>1910</v>
      </c>
      <c r="N82" s="10" t="inlineStr">
        <is>
          <t>Optimal</t>
        </is>
      </c>
    </row>
    <row r="83">
      <c r="B83" s="16" t="inlineStr">
        <is>
          <t>Bengaluru</t>
        </is>
      </c>
      <c r="C83" s="16" t="n">
        <v>5</v>
      </c>
      <c r="D83" s="16" t="inlineStr">
        <is>
          <t>Indiranagar, Whitefield, Hebbal, Jayanagar, Electronic City</t>
        </is>
      </c>
      <c r="E83" s="17" t="n">
        <v>4.57</v>
      </c>
      <c r="F83" s="21" t="n">
        <v>0.9886</v>
      </c>
      <c r="G83" s="18" t="n">
        <v>131.5</v>
      </c>
      <c r="H83" s="32" t="n">
        <v>32500000</v>
      </c>
      <c r="I83" s="32" t="n">
        <v>42270000</v>
      </c>
      <c r="J83" s="32" t="n">
        <v>5937195</v>
      </c>
      <c r="K83" s="32" t="n">
        <v>2905241</v>
      </c>
      <c r="L83" s="32" t="n">
        <v>-191840238</v>
      </c>
      <c r="M83" s="19" t="n">
        <v>2202</v>
      </c>
      <c r="N83" s="16" t="inlineStr">
        <is>
          <t>Optimal</t>
        </is>
      </c>
    </row>
    <row r="84">
      <c r="B84" s="10" t="inlineStr">
        <is>
          <t>Chennai</t>
        </is>
      </c>
      <c r="C84" s="10" t="n">
        <v>0</v>
      </c>
      <c r="D84" s="10" t="inlineStr">
        <is>
          <t>Current network</t>
        </is>
      </c>
      <c r="E84" s="11" t="n">
        <v>10.11</v>
      </c>
      <c r="F84" s="15" t="n">
        <v>0.8994</v>
      </c>
      <c r="G84" s="12" t="n">
        <v>0</v>
      </c>
      <c r="H84" s="30" t="n">
        <v>0</v>
      </c>
      <c r="I84" s="30" t="n">
        <v>0</v>
      </c>
      <c r="J84" s="30" t="n">
        <v>0</v>
      </c>
      <c r="K84" s="30" t="n">
        <v>0</v>
      </c>
      <c r="L84" s="30" t="n">
        <v>0</v>
      </c>
      <c r="M84" s="13" t="n"/>
      <c r="N84" s="10" t="inlineStr">
        <is>
          <t>n/a</t>
        </is>
      </c>
    </row>
    <row r="85">
      <c r="B85" s="16" t="inlineStr">
        <is>
          <t>Chennai</t>
        </is>
      </c>
      <c r="C85" s="16" t="n">
        <v>1</v>
      </c>
      <c r="D85" s="16" t="inlineStr">
        <is>
          <t>Kolathur</t>
        </is>
      </c>
      <c r="E85" s="17" t="n">
        <v>8.33</v>
      </c>
      <c r="F85" s="21" t="n">
        <v>0.9294</v>
      </c>
      <c r="G85" s="18" t="n">
        <v>39.5</v>
      </c>
      <c r="H85" s="32" t="n">
        <v>6500000</v>
      </c>
      <c r="I85" s="32" t="n">
        <v>5922000</v>
      </c>
      <c r="J85" s="32" t="n">
        <v>1801647</v>
      </c>
      <c r="K85" s="32" t="n">
        <v>607000</v>
      </c>
      <c r="L85" s="32" t="n">
        <v>-31325883</v>
      </c>
      <c r="M85" s="19" t="n">
        <v>1445</v>
      </c>
      <c r="N85" s="16" t="inlineStr">
        <is>
          <t>Optimal</t>
        </is>
      </c>
    </row>
    <row r="86">
      <c r="B86" s="10" t="inlineStr">
        <is>
          <t>Chennai</t>
        </is>
      </c>
      <c r="C86" s="10" t="n">
        <v>2</v>
      </c>
      <c r="D86" s="10" t="inlineStr">
        <is>
          <t>T Nagar, Kolathur</t>
        </is>
      </c>
      <c r="E86" s="11" t="n">
        <v>7.03</v>
      </c>
      <c r="F86" s="15" t="n">
        <v>0.9294</v>
      </c>
      <c r="G86" s="12" t="n">
        <v>70</v>
      </c>
      <c r="H86" s="30" t="n">
        <v>13000000</v>
      </c>
      <c r="I86" s="30" t="n">
        <v>15894000</v>
      </c>
      <c r="J86" s="30" t="n">
        <v>3530259</v>
      </c>
      <c r="K86" s="30" t="n">
        <v>1047843</v>
      </c>
      <c r="L86" s="30" t="n">
        <v>-77813458</v>
      </c>
      <c r="M86" s="13" t="n">
        <v>2024</v>
      </c>
      <c r="N86" s="10" t="inlineStr">
        <is>
          <t>Optimal</t>
        </is>
      </c>
    </row>
    <row r="87">
      <c r="B87" s="16" t="inlineStr">
        <is>
          <t>Chennai</t>
        </is>
      </c>
      <c r="C87" s="16" t="n">
        <v>3</v>
      </c>
      <c r="D87" s="16" t="inlineStr">
        <is>
          <t>T Nagar, Perungudi, Kolathur</t>
        </is>
      </c>
      <c r="E87" s="17" t="n">
        <v>5.79</v>
      </c>
      <c r="F87" s="21" t="n">
        <v>0.9368</v>
      </c>
      <c r="G87" s="18" t="n">
        <v>105.7</v>
      </c>
      <c r="H87" s="32" t="n">
        <v>19500000</v>
      </c>
      <c r="I87" s="32" t="n">
        <v>23436000</v>
      </c>
      <c r="J87" s="32" t="n">
        <v>5271681</v>
      </c>
      <c r="K87" s="32" t="n">
        <v>1468298</v>
      </c>
      <c r="L87" s="32" t="n">
        <v>-115688907</v>
      </c>
      <c r="M87" s="19" t="n">
        <v>2140</v>
      </c>
      <c r="N87" s="16" t="inlineStr">
        <is>
          <t>Optimal</t>
        </is>
      </c>
    </row>
    <row r="88">
      <c r="B88" s="10" t="inlineStr">
        <is>
          <t>Chennai</t>
        </is>
      </c>
      <c r="C88" s="10" t="n">
        <v>4</v>
      </c>
      <c r="D88" s="10" t="inlineStr">
        <is>
          <t>T Nagar, Perungudi, Kolathur, Tambaram</t>
        </is>
      </c>
      <c r="E88" s="11" t="n">
        <v>4.83</v>
      </c>
      <c r="F88" s="15" t="n">
        <v>0.9842</v>
      </c>
      <c r="G88" s="12" t="n">
        <v>118</v>
      </c>
      <c r="H88" s="30" t="n">
        <v>26000000</v>
      </c>
      <c r="I88" s="30" t="n">
        <v>28818000</v>
      </c>
      <c r="J88" s="30" t="n">
        <v>6302483</v>
      </c>
      <c r="K88" s="30" t="n">
        <v>1796754</v>
      </c>
      <c r="L88" s="30" t="n">
        <v>-143673555</v>
      </c>
      <c r="M88" s="13" t="n">
        <v>2170</v>
      </c>
      <c r="N88" s="10" t="inlineStr">
        <is>
          <t>Optimal</t>
        </is>
      </c>
    </row>
    <row r="89">
      <c r="B89" s="16" t="inlineStr">
        <is>
          <t>Chennai</t>
        </is>
      </c>
      <c r="C89" s="16" t="n">
        <v>5</v>
      </c>
      <c r="D89" s="16" t="inlineStr">
        <is>
          <t>T Nagar, Anna Nagar, Perungudi, Kolathur, Tambaram</t>
        </is>
      </c>
      <c r="E89" s="17" t="n">
        <v>4.46</v>
      </c>
      <c r="F89" s="21" t="n">
        <v>0.9842</v>
      </c>
      <c r="G89" s="18" t="n">
        <v>118.4</v>
      </c>
      <c r="H89" s="32" t="n">
        <v>32500000</v>
      </c>
      <c r="I89" s="32" t="n">
        <v>37710000</v>
      </c>
      <c r="J89" s="32" t="n">
        <v>7985591</v>
      </c>
      <c r="K89" s="32" t="n">
        <v>1922889</v>
      </c>
      <c r="L89" s="32" t="n">
        <v>-187667700</v>
      </c>
      <c r="M89" s="19" t="n">
        <v>2620</v>
      </c>
      <c r="N89" s="16" t="inlineStr">
        <is>
          <t>Optimal</t>
        </is>
      </c>
    </row>
    <row r="90">
      <c r="B90" s="10" t="inlineStr">
        <is>
          <t>Kolkata</t>
        </is>
      </c>
      <c r="C90" s="10" t="n">
        <v>0</v>
      </c>
      <c r="D90" s="10" t="inlineStr">
        <is>
          <t>Current network</t>
        </is>
      </c>
      <c r="E90" s="11" t="n">
        <v>9.880000000000001</v>
      </c>
      <c r="F90" s="15" t="n">
        <v>0.9811</v>
      </c>
      <c r="G90" s="12" t="n">
        <v>0</v>
      </c>
      <c r="H90" s="30" t="n">
        <v>0</v>
      </c>
      <c r="I90" s="30" t="n">
        <v>0</v>
      </c>
      <c r="J90" s="30" t="n">
        <v>0</v>
      </c>
      <c r="K90" s="30" t="n">
        <v>0</v>
      </c>
      <c r="L90" s="30" t="n">
        <v>0</v>
      </c>
      <c r="M90" s="13" t="n"/>
      <c r="N90" s="10" t="inlineStr">
        <is>
          <t>n/a</t>
        </is>
      </c>
    </row>
    <row r="91">
      <c r="B91" s="16" t="inlineStr">
        <is>
          <t>Kolkata</t>
        </is>
      </c>
      <c r="C91" s="16" t="n">
        <v>1</v>
      </c>
      <c r="D91" s="16" t="inlineStr">
        <is>
          <t>Park Circus</t>
        </is>
      </c>
      <c r="E91" s="17" t="n">
        <v>6.26</v>
      </c>
      <c r="F91" s="21" t="n">
        <v>1</v>
      </c>
      <c r="G91" s="18" t="n">
        <v>61.1</v>
      </c>
      <c r="H91" s="32" t="n">
        <v>6500000</v>
      </c>
      <c r="I91" s="32" t="n">
        <v>8205000</v>
      </c>
      <c r="J91" s="32" t="n">
        <v>935239</v>
      </c>
      <c r="K91" s="32" t="n">
        <v>1257008</v>
      </c>
      <c r="L91" s="32" t="n">
        <v>-33202547</v>
      </c>
      <c r="M91" s="19" t="n">
        <v>673</v>
      </c>
      <c r="N91" s="16" t="inlineStr">
        <is>
          <t>Optimal</t>
        </is>
      </c>
    </row>
    <row r="92">
      <c r="B92" s="10" t="inlineStr">
        <is>
          <t>Kolkata</t>
        </is>
      </c>
      <c r="C92" s="10" t="n">
        <v>2</v>
      </c>
      <c r="D92" s="10" t="inlineStr">
        <is>
          <t>Jadavpur, Shyambazar</t>
        </is>
      </c>
      <c r="E92" s="11" t="n">
        <v>5.19</v>
      </c>
      <c r="F92" s="15" t="n">
        <v>1</v>
      </c>
      <c r="G92" s="12" t="n">
        <v>77.5</v>
      </c>
      <c r="H92" s="30" t="n">
        <v>13000000</v>
      </c>
      <c r="I92" s="30" t="n">
        <v>11820000</v>
      </c>
      <c r="J92" s="30" t="n">
        <v>1808041</v>
      </c>
      <c r="K92" s="30" t="n">
        <v>1629716</v>
      </c>
      <c r="L92" s="30" t="n">
        <v>-54028110</v>
      </c>
      <c r="M92" s="13" t="n">
        <v>817</v>
      </c>
      <c r="N92" s="10" t="inlineStr">
        <is>
          <t>Optimal</t>
        </is>
      </c>
    </row>
    <row r="93">
      <c r="B93" s="16" t="inlineStr">
        <is>
          <t>Kolkata</t>
        </is>
      </c>
      <c r="C93" s="16" t="n">
        <v>3</v>
      </c>
      <c r="D93" s="16" t="inlineStr">
        <is>
          <t>Park Circus, Dum Dum, Tollygunge</t>
        </is>
      </c>
      <c r="E93" s="17" t="n">
        <v>4.48</v>
      </c>
      <c r="F93" s="21" t="n">
        <v>1</v>
      </c>
      <c r="G93" s="18" t="n">
        <v>83.3</v>
      </c>
      <c r="H93" s="32" t="n">
        <v>19500000</v>
      </c>
      <c r="I93" s="32" t="n">
        <v>19755000</v>
      </c>
      <c r="J93" s="32" t="n">
        <v>2804351</v>
      </c>
      <c r="K93" s="32" t="n">
        <v>1874782</v>
      </c>
      <c r="L93" s="32" t="n">
        <v>-91505772</v>
      </c>
      <c r="M93" s="19" t="n">
        <v>1153</v>
      </c>
      <c r="N93" s="16" t="inlineStr">
        <is>
          <t>Optimal</t>
        </is>
      </c>
    </row>
    <row r="94">
      <c r="B94" s="10" t="inlineStr">
        <is>
          <t>Kolkata</t>
        </is>
      </c>
      <c r="C94" s="10" t="n">
        <v>4</v>
      </c>
      <c r="D94" s="10" t="inlineStr">
        <is>
          <t>Park Circus, Dum Dum, Tollygunge, Bally</t>
        </is>
      </c>
      <c r="E94" s="11" t="n">
        <v>3.93</v>
      </c>
      <c r="F94" s="15" t="n">
        <v>1</v>
      </c>
      <c r="G94" s="12" t="n">
        <v>88.90000000000001</v>
      </c>
      <c r="H94" s="30" t="n">
        <v>26000000</v>
      </c>
      <c r="I94" s="30" t="n">
        <v>24450000</v>
      </c>
      <c r="J94" s="30" t="n">
        <v>3118468</v>
      </c>
      <c r="K94" s="30" t="n">
        <v>2068305</v>
      </c>
      <c r="L94" s="30" t="n">
        <v>-115100916</v>
      </c>
      <c r="M94" s="13" t="n">
        <v>1299</v>
      </c>
      <c r="N94" s="10" t="inlineStr">
        <is>
          <t>Optimal</t>
        </is>
      </c>
    </row>
    <row r="95">
      <c r="B95" s="16" t="inlineStr">
        <is>
          <t>Kolkata</t>
        </is>
      </c>
      <c r="C95" s="16" t="n">
        <v>5</v>
      </c>
      <c r="D95" s="16" t="inlineStr">
        <is>
          <t>Park Circus, Dum Dum, Howrah Maidan, Tollygunge, Bally</t>
        </is>
      </c>
      <c r="E95" s="17" t="n">
        <v>3.39</v>
      </c>
      <c r="F95" s="21" t="n">
        <v>1</v>
      </c>
      <c r="G95" s="18" t="n">
        <v>95.09999999999999</v>
      </c>
      <c r="H95" s="32" t="n">
        <v>32500000</v>
      </c>
      <c r="I95" s="32" t="n">
        <v>29685000</v>
      </c>
      <c r="J95" s="32" t="n">
        <v>3682185</v>
      </c>
      <c r="K95" s="32" t="n">
        <v>2253307</v>
      </c>
      <c r="L95" s="32" t="n">
        <v>-141584730</v>
      </c>
      <c r="M95" s="19" t="n">
        <v>1453</v>
      </c>
      <c r="N95" s="16" t="inlineStr">
        <is>
          <t>Optimal</t>
        </is>
      </c>
    </row>
    <row r="98">
      <c r="B98" s="7" t="inlineStr">
        <is>
          <t>Candidate MFC sites</t>
        </is>
      </c>
      <c r="C98" s="8" t="n"/>
      <c r="D98" s="8" t="n"/>
      <c r="E98" s="8" t="n"/>
      <c r="F98" s="8" t="n"/>
      <c r="G98" s="8" t="n"/>
      <c r="H98" s="8" t="n"/>
      <c r="I98" s="8" t="n"/>
    </row>
    <row r="99" ht="30" customHeight="1">
      <c r="B99" s="9" t="inlineStr">
        <is>
          <t>Site</t>
        </is>
      </c>
      <c r="C99" s="9" t="inlineStr">
        <is>
          <t>City</t>
        </is>
      </c>
      <c r="D99" s="9" t="inlineStr">
        <is>
          <t>Location</t>
        </is>
      </c>
      <c r="E99" s="9" t="inlineStr">
        <is>
          <t>Rent ₹/sqft/month</t>
        </is>
      </c>
      <c r="F99" s="9" t="inlineStr">
        <is>
          <t>Fixed opex ₹/yr</t>
        </is>
      </c>
      <c r="G99" s="9" t="inlineStr">
        <is>
          <t>Line-haul km from DC</t>
        </is>
      </c>
      <c r="H99" s="9" t="inlineStr">
        <is>
          <t>Selected in p</t>
        </is>
      </c>
    </row>
    <row r="100">
      <c r="B100" s="10" t="inlineStr">
        <is>
          <t>MFC-MUM-01</t>
        </is>
      </c>
      <c r="C100" s="10" t="inlineStr">
        <is>
          <t>Mumbai MMR</t>
        </is>
      </c>
      <c r="D100" s="10" t="inlineStr">
        <is>
          <t>Goregaon East</t>
        </is>
      </c>
      <c r="E100" s="10" t="n">
        <v>115</v>
      </c>
      <c r="F100" s="30" t="n">
        <v>8790000</v>
      </c>
      <c r="G100" s="12" t="n">
        <v>32.67</v>
      </c>
      <c r="H100" s="10" t="inlineStr">
        <is>
          <t>5</t>
        </is>
      </c>
    </row>
    <row r="101">
      <c r="B101" s="16" t="inlineStr">
        <is>
          <t>MFC-MUM-02</t>
        </is>
      </c>
      <c r="C101" s="16" t="inlineStr">
        <is>
          <t>Mumbai MMR</t>
        </is>
      </c>
      <c r="D101" s="16" t="inlineStr">
        <is>
          <t>Malad West</t>
        </is>
      </c>
      <c r="E101" s="16" t="n">
        <v>100</v>
      </c>
      <c r="F101" s="32" t="n">
        <v>7980000</v>
      </c>
      <c r="G101" s="18" t="n">
        <v>31.65</v>
      </c>
      <c r="H101" s="16" t="inlineStr"/>
    </row>
    <row r="102">
      <c r="B102" s="10" t="inlineStr">
        <is>
          <t>MFC-MUM-03</t>
        </is>
      </c>
      <c r="C102" s="10" t="inlineStr">
        <is>
          <t>Mumbai MMR</t>
        </is>
      </c>
      <c r="D102" s="10" t="inlineStr">
        <is>
          <t>Kurla</t>
        </is>
      </c>
      <c r="E102" s="10" t="n">
        <v>115</v>
      </c>
      <c r="F102" s="30" t="n">
        <v>8790000</v>
      </c>
      <c r="G102" s="12" t="n">
        <v>39</v>
      </c>
      <c r="H102" s="10" t="inlineStr">
        <is>
          <t>3,4,5</t>
        </is>
      </c>
    </row>
    <row r="103">
      <c r="B103" s="16" t="inlineStr">
        <is>
          <t>MFC-MUM-04</t>
        </is>
      </c>
      <c r="C103" s="16" t="inlineStr">
        <is>
          <t>Mumbai MMR</t>
        </is>
      </c>
      <c r="D103" s="16" t="inlineStr">
        <is>
          <t>Vashi</t>
        </is>
      </c>
      <c r="E103" s="16" t="n">
        <v>80</v>
      </c>
      <c r="F103" s="32" t="n">
        <v>6900000</v>
      </c>
      <c r="G103" s="18" t="n">
        <v>31.45</v>
      </c>
      <c r="H103" s="16" t="inlineStr"/>
    </row>
    <row r="104">
      <c r="B104" s="10" t="inlineStr">
        <is>
          <t>MFC-MUM-05</t>
        </is>
      </c>
      <c r="C104" s="10" t="inlineStr">
        <is>
          <t>Mumbai MMR</t>
        </is>
      </c>
      <c r="D104" s="10" t="inlineStr">
        <is>
          <t>Kalyan</t>
        </is>
      </c>
      <c r="E104" s="10" t="n">
        <v>45</v>
      </c>
      <c r="F104" s="30" t="n">
        <v>5010000</v>
      </c>
      <c r="G104" s="12" t="n">
        <v>13.17</v>
      </c>
      <c r="H104" s="10" t="inlineStr"/>
    </row>
    <row r="105">
      <c r="B105" s="16" t="inlineStr">
        <is>
          <t>MFC-MUM-06</t>
        </is>
      </c>
      <c r="C105" s="16" t="inlineStr">
        <is>
          <t>Mumbai MMR</t>
        </is>
      </c>
      <c r="D105" s="16" t="inlineStr">
        <is>
          <t>Powai</t>
        </is>
      </c>
      <c r="E105" s="16" t="n">
        <v>135</v>
      </c>
      <c r="F105" s="32" t="n">
        <v>9870000</v>
      </c>
      <c r="G105" s="18" t="n">
        <v>31.79</v>
      </c>
      <c r="H105" s="16" t="inlineStr"/>
    </row>
    <row r="106">
      <c r="B106" s="10" t="inlineStr">
        <is>
          <t>MFC-MUM-07</t>
        </is>
      </c>
      <c r="C106" s="10" t="inlineStr">
        <is>
          <t>Mumbai MMR</t>
        </is>
      </c>
      <c r="D106" s="10" t="inlineStr">
        <is>
          <t>Ghatkopar</t>
        </is>
      </c>
      <c r="E106" s="10" t="n">
        <v>110</v>
      </c>
      <c r="F106" s="30" t="n">
        <v>8520000</v>
      </c>
      <c r="G106" s="12" t="n">
        <v>35.42</v>
      </c>
      <c r="H106" s="10" t="inlineStr"/>
    </row>
    <row r="107">
      <c r="B107" s="16" t="inlineStr">
        <is>
          <t>MFC-MUM-08</t>
        </is>
      </c>
      <c r="C107" s="16" t="inlineStr">
        <is>
          <t>Mumbai MMR</t>
        </is>
      </c>
      <c r="D107" s="16" t="inlineStr">
        <is>
          <t>Thane Majiwada</t>
        </is>
      </c>
      <c r="E107" s="16" t="n">
        <v>75</v>
      </c>
      <c r="F107" s="32" t="n">
        <v>6630000</v>
      </c>
      <c r="G107" s="18" t="n">
        <v>12.51</v>
      </c>
      <c r="H107" s="16" t="inlineStr">
        <is>
          <t>2,3,4,5</t>
        </is>
      </c>
    </row>
    <row r="108">
      <c r="B108" s="10" t="inlineStr">
        <is>
          <t>MFC-MUM-09</t>
        </is>
      </c>
      <c r="C108" s="10" t="inlineStr">
        <is>
          <t>Mumbai MMR</t>
        </is>
      </c>
      <c r="D108" s="10" t="inlineStr">
        <is>
          <t>Dadar</t>
        </is>
      </c>
      <c r="E108" s="10" t="n">
        <v>165</v>
      </c>
      <c r="F108" s="30" t="n">
        <v>11490000</v>
      </c>
      <c r="G108" s="12" t="n">
        <v>48.71</v>
      </c>
      <c r="H108" s="10" t="inlineStr"/>
    </row>
    <row r="109">
      <c r="B109" s="16" t="inlineStr">
        <is>
          <t>MFC-MUM-10</t>
        </is>
      </c>
      <c r="C109" s="16" t="inlineStr">
        <is>
          <t>Mumbai MMR</t>
        </is>
      </c>
      <c r="D109" s="16" t="inlineStr">
        <is>
          <t>Lower Parel</t>
        </is>
      </c>
      <c r="E109" s="16" t="n">
        <v>210</v>
      </c>
      <c r="F109" s="32" t="n">
        <v>13920000</v>
      </c>
      <c r="G109" s="18" t="n">
        <v>52.6</v>
      </c>
      <c r="H109" s="16" t="inlineStr"/>
    </row>
    <row r="110">
      <c r="B110" s="10" t="inlineStr">
        <is>
          <t>MFC-MUM-11</t>
        </is>
      </c>
      <c r="C110" s="10" t="inlineStr">
        <is>
          <t>Mumbai MMR</t>
        </is>
      </c>
      <c r="D110" s="10" t="inlineStr">
        <is>
          <t>Chembur</t>
        </is>
      </c>
      <c r="E110" s="10" t="n">
        <v>105</v>
      </c>
      <c r="F110" s="30" t="n">
        <v>8250000</v>
      </c>
      <c r="G110" s="12" t="n">
        <v>40.27</v>
      </c>
      <c r="H110" s="10" t="inlineStr"/>
    </row>
    <row r="111">
      <c r="B111" s="16" t="inlineStr">
        <is>
          <t>MFC-MUM-12</t>
        </is>
      </c>
      <c r="C111" s="16" t="inlineStr">
        <is>
          <t>Mumbai MMR</t>
        </is>
      </c>
      <c r="D111" s="16" t="inlineStr">
        <is>
          <t>Mulund</t>
        </is>
      </c>
      <c r="E111" s="16" t="n">
        <v>85</v>
      </c>
      <c r="F111" s="32" t="n">
        <v>7170000</v>
      </c>
      <c r="G111" s="18" t="n">
        <v>22.16</v>
      </c>
      <c r="H111" s="16" t="inlineStr"/>
    </row>
    <row r="112">
      <c r="B112" s="10" t="inlineStr">
        <is>
          <t>MFC-MUM-13</t>
        </is>
      </c>
      <c r="C112" s="10" t="inlineStr">
        <is>
          <t>Mumbai MMR</t>
        </is>
      </c>
      <c r="D112" s="10" t="inlineStr">
        <is>
          <t>Borivali</t>
        </is>
      </c>
      <c r="E112" s="10" t="n">
        <v>95</v>
      </c>
      <c r="F112" s="30" t="n">
        <v>7710000</v>
      </c>
      <c r="G112" s="12" t="n">
        <v>28.2</v>
      </c>
      <c r="H112" s="10" t="inlineStr"/>
    </row>
    <row r="113">
      <c r="B113" s="16" t="inlineStr">
        <is>
          <t>MFC-MUM-14</t>
        </is>
      </c>
      <c r="C113" s="16" t="inlineStr">
        <is>
          <t>Mumbai MMR</t>
        </is>
      </c>
      <c r="D113" s="16" t="inlineStr">
        <is>
          <t>Airoli</t>
        </is>
      </c>
      <c r="E113" s="16" t="n">
        <v>65</v>
      </c>
      <c r="F113" s="32" t="n">
        <v>6090000</v>
      </c>
      <c r="G113" s="18" t="n">
        <v>19.64</v>
      </c>
      <c r="H113" s="16" t="inlineStr">
        <is>
          <t>4,5</t>
        </is>
      </c>
    </row>
    <row r="114">
      <c r="B114" s="10" t="inlineStr">
        <is>
          <t>MFC-MUM-15</t>
        </is>
      </c>
      <c r="C114" s="10" t="inlineStr">
        <is>
          <t>Mumbai MMR</t>
        </is>
      </c>
      <c r="D114" s="10" t="inlineStr">
        <is>
          <t>Byculla</t>
        </is>
      </c>
      <c r="E114" s="10" t="n">
        <v>150</v>
      </c>
      <c r="F114" s="30" t="n">
        <v>10680000</v>
      </c>
      <c r="G114" s="12" t="n">
        <v>54.7</v>
      </c>
      <c r="H114" s="10" t="inlineStr">
        <is>
          <t>1,2,3,4,5</t>
        </is>
      </c>
    </row>
    <row r="115">
      <c r="B115" s="16" t="inlineStr">
        <is>
          <t>MFC-DEL-01</t>
        </is>
      </c>
      <c r="C115" s="16" t="inlineStr">
        <is>
          <t>Delhi NCR</t>
        </is>
      </c>
      <c r="D115" s="16" t="inlineStr">
        <is>
          <t>Saket</t>
        </is>
      </c>
      <c r="E115" s="16" t="n">
        <v>160</v>
      </c>
      <c r="F115" s="32" t="n">
        <v>11220000</v>
      </c>
      <c r="G115" s="18" t="n">
        <v>54.92</v>
      </c>
      <c r="H115" s="16" t="inlineStr">
        <is>
          <t>4,5</t>
        </is>
      </c>
    </row>
    <row r="116">
      <c r="B116" s="10" t="inlineStr">
        <is>
          <t>MFC-DEL-02</t>
        </is>
      </c>
      <c r="C116" s="10" t="inlineStr">
        <is>
          <t>Delhi NCR</t>
        </is>
      </c>
      <c r="D116" s="10" t="inlineStr">
        <is>
          <t>Karol Bagh</t>
        </is>
      </c>
      <c r="E116" s="10" t="n">
        <v>140</v>
      </c>
      <c r="F116" s="30" t="n">
        <v>10140000</v>
      </c>
      <c r="G116" s="12" t="n">
        <v>66.56</v>
      </c>
      <c r="H116" s="10" t="inlineStr">
        <is>
          <t>2,3,4,5</t>
        </is>
      </c>
    </row>
    <row r="117">
      <c r="B117" s="16" t="inlineStr">
        <is>
          <t>MFC-DEL-03</t>
        </is>
      </c>
      <c r="C117" s="16" t="inlineStr">
        <is>
          <t>Delhi NCR</t>
        </is>
      </c>
      <c r="D117" s="16" t="inlineStr">
        <is>
          <t>Janakpuri</t>
        </is>
      </c>
      <c r="E117" s="16" t="n">
        <v>95</v>
      </c>
      <c r="F117" s="32" t="n">
        <v>7710000</v>
      </c>
      <c r="G117" s="18" t="n">
        <v>54.72</v>
      </c>
      <c r="H117" s="16" t="inlineStr">
        <is>
          <t>3,4,5</t>
        </is>
      </c>
    </row>
    <row r="118">
      <c r="B118" s="10" t="inlineStr">
        <is>
          <t>MFC-DEL-04</t>
        </is>
      </c>
      <c r="C118" s="10" t="inlineStr">
        <is>
          <t>Delhi NCR</t>
        </is>
      </c>
      <c r="D118" s="10" t="inlineStr">
        <is>
          <t>Dwarka</t>
        </is>
      </c>
      <c r="E118" s="10" t="n">
        <v>85</v>
      </c>
      <c r="F118" s="30" t="n">
        <v>7170000</v>
      </c>
      <c r="G118" s="12" t="n">
        <v>48.22</v>
      </c>
      <c r="H118" s="10" t="inlineStr"/>
    </row>
    <row r="119">
      <c r="B119" s="16" t="inlineStr">
        <is>
          <t>MFC-DEL-05</t>
        </is>
      </c>
      <c r="C119" s="16" t="inlineStr">
        <is>
          <t>Delhi NCR</t>
        </is>
      </c>
      <c r="D119" s="16" t="inlineStr">
        <is>
          <t>Lajpat Nagar</t>
        </is>
      </c>
      <c r="E119" s="16" t="n">
        <v>150</v>
      </c>
      <c r="F119" s="32" t="n">
        <v>10680000</v>
      </c>
      <c r="G119" s="18" t="n">
        <v>62.68</v>
      </c>
      <c r="H119" s="16" t="inlineStr"/>
    </row>
    <row r="120">
      <c r="B120" s="10" t="inlineStr">
        <is>
          <t>MFC-DEL-06</t>
        </is>
      </c>
      <c r="C120" s="10" t="inlineStr">
        <is>
          <t>Delhi NCR</t>
        </is>
      </c>
      <c r="D120" s="10" t="inlineStr">
        <is>
          <t>Gurugram Sector 44</t>
        </is>
      </c>
      <c r="E120" s="10" t="n">
        <v>110</v>
      </c>
      <c r="F120" s="30" t="n">
        <v>8520000</v>
      </c>
      <c r="G120" s="12" t="n">
        <v>34.27</v>
      </c>
      <c r="H120" s="10" t="inlineStr">
        <is>
          <t>2,3,4,5</t>
        </is>
      </c>
    </row>
    <row r="121">
      <c r="B121" s="16" t="inlineStr">
        <is>
          <t>MFC-DEL-07</t>
        </is>
      </c>
      <c r="C121" s="16" t="inlineStr">
        <is>
          <t>Delhi NCR</t>
        </is>
      </c>
      <c r="D121" s="16" t="inlineStr">
        <is>
          <t>Noida Sector 18</t>
        </is>
      </c>
      <c r="E121" s="16" t="n">
        <v>120</v>
      </c>
      <c r="F121" s="32" t="n">
        <v>9060000</v>
      </c>
      <c r="G121" s="18" t="n">
        <v>71.34999999999999</v>
      </c>
      <c r="H121" s="16" t="inlineStr">
        <is>
          <t>5</t>
        </is>
      </c>
    </row>
    <row r="122">
      <c r="B122" s="10" t="inlineStr">
        <is>
          <t>MFC-DEL-08</t>
        </is>
      </c>
      <c r="C122" s="10" t="inlineStr">
        <is>
          <t>Delhi NCR</t>
        </is>
      </c>
      <c r="D122" s="10" t="inlineStr">
        <is>
          <t>Mayapuri</t>
        </is>
      </c>
      <c r="E122" s="10" t="n">
        <v>90</v>
      </c>
      <c r="F122" s="30" t="n">
        <v>7440000</v>
      </c>
      <c r="G122" s="12" t="n">
        <v>59.79</v>
      </c>
      <c r="H122" s="10" t="inlineStr">
        <is>
          <t>1</t>
        </is>
      </c>
    </row>
    <row r="123">
      <c r="B123" s="16" t="inlineStr">
        <is>
          <t>MFC-DEL-09</t>
        </is>
      </c>
      <c r="C123" s="16" t="inlineStr">
        <is>
          <t>Delhi NCR</t>
        </is>
      </c>
      <c r="D123" s="16" t="inlineStr">
        <is>
          <t>Patparganj</t>
        </is>
      </c>
      <c r="E123" s="16" t="n">
        <v>85</v>
      </c>
      <c r="F123" s="32" t="n">
        <v>7170000</v>
      </c>
      <c r="G123" s="18" t="n">
        <v>73.48</v>
      </c>
      <c r="H123" s="16" t="inlineStr"/>
    </row>
    <row r="124">
      <c r="B124" s="10" t="inlineStr">
        <is>
          <t>MFC-DEL-10</t>
        </is>
      </c>
      <c r="C124" s="10" t="inlineStr">
        <is>
          <t>Delhi NCR</t>
        </is>
      </c>
      <c r="D124" s="10" t="inlineStr">
        <is>
          <t>Rohini</t>
        </is>
      </c>
      <c r="E124" s="10" t="n">
        <v>80</v>
      </c>
      <c r="F124" s="30" t="n">
        <v>6900000</v>
      </c>
      <c r="G124" s="12" t="n">
        <v>68.41</v>
      </c>
      <c r="H124" s="10" t="inlineStr"/>
    </row>
    <row r="125">
      <c r="B125" s="16" t="inlineStr">
        <is>
          <t>MFC-BLR-01</t>
        </is>
      </c>
      <c r="C125" s="16" t="inlineStr">
        <is>
          <t>Bengaluru</t>
        </is>
      </c>
      <c r="D125" s="16" t="inlineStr">
        <is>
          <t>Indiranagar</t>
        </is>
      </c>
      <c r="E125" s="16" t="n">
        <v>150</v>
      </c>
      <c r="F125" s="32" t="n">
        <v>10722000</v>
      </c>
      <c r="G125" s="18" t="n">
        <v>26.79</v>
      </c>
      <c r="H125" s="16" t="inlineStr">
        <is>
          <t>5</t>
        </is>
      </c>
    </row>
    <row r="126">
      <c r="B126" s="10" t="inlineStr">
        <is>
          <t>MFC-BLR-02</t>
        </is>
      </c>
      <c r="C126" s="10" t="inlineStr">
        <is>
          <t>Bengaluru</t>
        </is>
      </c>
      <c r="D126" s="10" t="inlineStr">
        <is>
          <t>HSR Layout</t>
        </is>
      </c>
      <c r="E126" s="10" t="n">
        <v>120</v>
      </c>
      <c r="F126" s="30" t="n">
        <v>9102000</v>
      </c>
      <c r="G126" s="12" t="n">
        <v>32.61</v>
      </c>
      <c r="H126" s="10" t="inlineStr"/>
    </row>
    <row r="127">
      <c r="B127" s="16" t="inlineStr">
        <is>
          <t>MFC-BLR-03</t>
        </is>
      </c>
      <c r="C127" s="16" t="inlineStr">
        <is>
          <t>Bengaluru</t>
        </is>
      </c>
      <c r="D127" s="16" t="inlineStr">
        <is>
          <t>Whitefield</t>
        </is>
      </c>
      <c r="E127" s="16" t="n">
        <v>95</v>
      </c>
      <c r="F127" s="32" t="n">
        <v>7752000</v>
      </c>
      <c r="G127" s="18" t="n">
        <v>16.57</v>
      </c>
      <c r="H127" s="16" t="inlineStr">
        <is>
          <t>2,3,4,5</t>
        </is>
      </c>
    </row>
    <row r="128">
      <c r="B128" s="10" t="inlineStr">
        <is>
          <t>MFC-BLR-04</t>
        </is>
      </c>
      <c r="C128" s="10" t="inlineStr">
        <is>
          <t>Bengaluru</t>
        </is>
      </c>
      <c r="D128" s="10" t="inlineStr">
        <is>
          <t>Hebbal</t>
        </is>
      </c>
      <c r="E128" s="10" t="n">
        <v>100</v>
      </c>
      <c r="F128" s="30" t="n">
        <v>8022000</v>
      </c>
      <c r="G128" s="12" t="n">
        <v>29.86</v>
      </c>
      <c r="H128" s="10" t="inlineStr">
        <is>
          <t>1,2,3,4,5</t>
        </is>
      </c>
    </row>
    <row r="129">
      <c r="B129" s="16" t="inlineStr">
        <is>
          <t>MFC-BLR-05</t>
        </is>
      </c>
      <c r="C129" s="16" t="inlineStr">
        <is>
          <t>Bengaluru</t>
        </is>
      </c>
      <c r="D129" s="16" t="inlineStr">
        <is>
          <t>Jayanagar</t>
        </is>
      </c>
      <c r="E129" s="16" t="n">
        <v>130</v>
      </c>
      <c r="F129" s="32" t="n">
        <v>9642000</v>
      </c>
      <c r="G129" s="18" t="n">
        <v>37.05</v>
      </c>
      <c r="H129" s="16" t="inlineStr">
        <is>
          <t>3,4,5</t>
        </is>
      </c>
    </row>
    <row r="130">
      <c r="B130" s="10" t="inlineStr">
        <is>
          <t>MFC-BLR-06</t>
        </is>
      </c>
      <c r="C130" s="10" t="inlineStr">
        <is>
          <t>Bengaluru</t>
        </is>
      </c>
      <c r="D130" s="10" t="inlineStr">
        <is>
          <t>Rajajinagar</t>
        </is>
      </c>
      <c r="E130" s="10" t="n">
        <v>100</v>
      </c>
      <c r="F130" s="30" t="n">
        <v>8022000</v>
      </c>
      <c r="G130" s="12" t="n">
        <v>37.6</v>
      </c>
      <c r="H130" s="10" t="inlineStr"/>
    </row>
    <row r="131">
      <c r="B131" s="16" t="inlineStr">
        <is>
          <t>MFC-BLR-07</t>
        </is>
      </c>
      <c r="C131" s="16" t="inlineStr">
        <is>
          <t>Bengaluru</t>
        </is>
      </c>
      <c r="D131" s="16" t="inlineStr">
        <is>
          <t>Yelahanka</t>
        </is>
      </c>
      <c r="E131" s="16" t="n">
        <v>70</v>
      </c>
      <c r="F131" s="32" t="n">
        <v>6402000</v>
      </c>
      <c r="G131" s="18" t="n">
        <v>29.88</v>
      </c>
      <c r="H131" s="16" t="inlineStr"/>
    </row>
    <row r="132">
      <c r="B132" s="10" t="inlineStr">
        <is>
          <t>MFC-BLR-08</t>
        </is>
      </c>
      <c r="C132" s="10" t="inlineStr">
        <is>
          <t>Bengaluru</t>
        </is>
      </c>
      <c r="D132" s="10" t="inlineStr">
        <is>
          <t>Electronic City</t>
        </is>
      </c>
      <c r="E132" s="10" t="n">
        <v>65</v>
      </c>
      <c r="F132" s="30" t="n">
        <v>6132000</v>
      </c>
      <c r="G132" s="12" t="n">
        <v>39.35</v>
      </c>
      <c r="H132" s="10" t="inlineStr">
        <is>
          <t>4,5</t>
        </is>
      </c>
    </row>
    <row r="133">
      <c r="B133" s="16" t="inlineStr">
        <is>
          <t>MFC-BLR-09</t>
        </is>
      </c>
      <c r="C133" s="16" t="inlineStr">
        <is>
          <t>Bengaluru</t>
        </is>
      </c>
      <c r="D133" s="16" t="inlineStr">
        <is>
          <t>Banashankari</t>
        </is>
      </c>
      <c r="E133" s="16" t="n">
        <v>95</v>
      </c>
      <c r="F133" s="32" t="n">
        <v>7752000</v>
      </c>
      <c r="G133" s="18" t="n">
        <v>42.81</v>
      </c>
      <c r="H133" s="16" t="inlineStr"/>
    </row>
    <row r="134">
      <c r="B134" s="10" t="inlineStr">
        <is>
          <t>MFC-BLR-10</t>
        </is>
      </c>
      <c r="C134" s="10" t="inlineStr">
        <is>
          <t>Bengaluru</t>
        </is>
      </c>
      <c r="D134" s="10" t="inlineStr">
        <is>
          <t>KR Puram</t>
        </is>
      </c>
      <c r="E134" s="10" t="n">
        <v>75</v>
      </c>
      <c r="F134" s="30" t="n">
        <v>6672000</v>
      </c>
      <c r="G134" s="12" t="n">
        <v>17.66</v>
      </c>
      <c r="H134" s="10" t="inlineStr"/>
    </row>
    <row r="135">
      <c r="B135" s="16" t="inlineStr">
        <is>
          <t>MFC-CHE-01</t>
        </is>
      </c>
      <c r="C135" s="16" t="inlineStr">
        <is>
          <t>Chennai</t>
        </is>
      </c>
      <c r="D135" s="16" t="inlineStr">
        <is>
          <t>T Nagar</t>
        </is>
      </c>
      <c r="E135" s="16" t="n">
        <v>140</v>
      </c>
      <c r="F135" s="32" t="n">
        <v>9972000</v>
      </c>
      <c r="G135" s="18" t="n">
        <v>43.56</v>
      </c>
      <c r="H135" s="16" t="inlineStr">
        <is>
          <t>2,3,4,5</t>
        </is>
      </c>
    </row>
    <row r="136">
      <c r="B136" s="10" t="inlineStr">
        <is>
          <t>MFC-CHE-02</t>
        </is>
      </c>
      <c r="C136" s="10" t="inlineStr">
        <is>
          <t>Chennai</t>
        </is>
      </c>
      <c r="D136" s="10" t="inlineStr">
        <is>
          <t>Anna Nagar</t>
        </is>
      </c>
      <c r="E136" s="10" t="n">
        <v>120</v>
      </c>
      <c r="F136" s="30" t="n">
        <v>8892000</v>
      </c>
      <c r="G136" s="12" t="n">
        <v>42.42</v>
      </c>
      <c r="H136" s="10" t="inlineStr">
        <is>
          <t>5</t>
        </is>
      </c>
    </row>
    <row r="137">
      <c r="B137" s="16" t="inlineStr">
        <is>
          <t>MFC-CHE-03</t>
        </is>
      </c>
      <c r="C137" s="16" t="inlineStr">
        <is>
          <t>Chennai</t>
        </is>
      </c>
      <c r="D137" s="16" t="inlineStr">
        <is>
          <t>Velachery</t>
        </is>
      </c>
      <c r="E137" s="16" t="n">
        <v>100</v>
      </c>
      <c r="F137" s="32" t="n">
        <v>7812000</v>
      </c>
      <c r="G137" s="18" t="n">
        <v>40.25</v>
      </c>
      <c r="H137" s="16" t="inlineStr"/>
    </row>
    <row r="138">
      <c r="B138" s="10" t="inlineStr">
        <is>
          <t>MFC-CHE-04</t>
        </is>
      </c>
      <c r="C138" s="10" t="inlineStr">
        <is>
          <t>Chennai</t>
        </is>
      </c>
      <c r="D138" s="10" t="inlineStr">
        <is>
          <t>Porur</t>
        </is>
      </c>
      <c r="E138" s="10" t="n">
        <v>75</v>
      </c>
      <c r="F138" s="30" t="n">
        <v>6462000</v>
      </c>
      <c r="G138" s="12" t="n">
        <v>32.6</v>
      </c>
      <c r="H138" s="10" t="inlineStr"/>
    </row>
    <row r="139">
      <c r="B139" s="16" t="inlineStr">
        <is>
          <t>MFC-CHE-05</t>
        </is>
      </c>
      <c r="C139" s="16" t="inlineStr">
        <is>
          <t>Chennai</t>
        </is>
      </c>
      <c r="D139" s="16" t="inlineStr">
        <is>
          <t>Perungudi</t>
        </is>
      </c>
      <c r="E139" s="16" t="n">
        <v>95</v>
      </c>
      <c r="F139" s="32" t="n">
        <v>7542000</v>
      </c>
      <c r="G139" s="18" t="n">
        <v>43.89</v>
      </c>
      <c r="H139" s="16" t="inlineStr">
        <is>
          <t>3,4,5</t>
        </is>
      </c>
    </row>
    <row r="140">
      <c r="B140" s="10" t="inlineStr">
        <is>
          <t>MFC-CHE-06</t>
        </is>
      </c>
      <c r="C140" s="10" t="inlineStr">
        <is>
          <t>Chennai</t>
        </is>
      </c>
      <c r="D140" s="10" t="inlineStr">
        <is>
          <t>Kolathur</t>
        </is>
      </c>
      <c r="E140" s="10" t="n">
        <v>65</v>
      </c>
      <c r="F140" s="30" t="n">
        <v>5922000</v>
      </c>
      <c r="G140" s="12" t="n">
        <v>45.4</v>
      </c>
      <c r="H140" s="10" t="inlineStr">
        <is>
          <t>1,2,3,4,5</t>
        </is>
      </c>
    </row>
    <row r="141">
      <c r="B141" s="16" t="inlineStr">
        <is>
          <t>MFC-CHE-07</t>
        </is>
      </c>
      <c r="C141" s="16" t="inlineStr">
        <is>
          <t>Chennai</t>
        </is>
      </c>
      <c r="D141" s="16" t="inlineStr">
        <is>
          <t>Tambaram</t>
        </is>
      </c>
      <c r="E141" s="16" t="n">
        <v>55</v>
      </c>
      <c r="F141" s="32" t="n">
        <v>5382000</v>
      </c>
      <c r="G141" s="18" t="n">
        <v>25.98</v>
      </c>
      <c r="H141" s="16" t="inlineStr">
        <is>
          <t>4,5</t>
        </is>
      </c>
    </row>
    <row r="142">
      <c r="B142" s="10" t="inlineStr">
        <is>
          <t>MFC-CHE-08</t>
        </is>
      </c>
      <c r="C142" s="10" t="inlineStr">
        <is>
          <t>Chennai</t>
        </is>
      </c>
      <c r="D142" s="10" t="inlineStr">
        <is>
          <t>Adyar</t>
        </is>
      </c>
      <c r="E142" s="10" t="n">
        <v>130</v>
      </c>
      <c r="F142" s="30" t="n">
        <v>9432000</v>
      </c>
      <c r="G142" s="12" t="n">
        <v>45.18</v>
      </c>
      <c r="H142" s="10" t="inlineStr"/>
    </row>
    <row r="143">
      <c r="B143" s="16" t="inlineStr">
        <is>
          <t>MFC-CHE-09</t>
        </is>
      </c>
      <c r="C143" s="16" t="inlineStr">
        <is>
          <t>Chennai</t>
        </is>
      </c>
      <c r="D143" s="16" t="inlineStr">
        <is>
          <t>Madhavaram</t>
        </is>
      </c>
      <c r="E143" s="16" t="n">
        <v>50</v>
      </c>
      <c r="F143" s="32" t="n">
        <v>5112000</v>
      </c>
      <c r="G143" s="18" t="n">
        <v>49.67</v>
      </c>
      <c r="H143" s="16" t="inlineStr"/>
    </row>
    <row r="144">
      <c r="B144" s="10" t="inlineStr">
        <is>
          <t>MFC-CHE-10</t>
        </is>
      </c>
      <c r="C144" s="10" t="inlineStr">
        <is>
          <t>Chennai</t>
        </is>
      </c>
      <c r="D144" s="10" t="inlineStr">
        <is>
          <t>Vadapalani</t>
        </is>
      </c>
      <c r="E144" s="10" t="n">
        <v>110</v>
      </c>
      <c r="F144" s="30" t="n">
        <v>8352000</v>
      </c>
      <c r="G144" s="12" t="n">
        <v>40.81</v>
      </c>
      <c r="H144" s="10" t="inlineStr"/>
    </row>
    <row r="145">
      <c r="B145" s="16" t="inlineStr">
        <is>
          <t>MFC-KOL-01</t>
        </is>
      </c>
      <c r="C145" s="16" t="inlineStr">
        <is>
          <t>Kolkata</t>
        </is>
      </c>
      <c r="D145" s="16" t="inlineStr">
        <is>
          <t>Park Circus</t>
        </is>
      </c>
      <c r="E145" s="16" t="n">
        <v>110</v>
      </c>
      <c r="F145" s="32" t="n">
        <v>8205000</v>
      </c>
      <c r="G145" s="18" t="n">
        <v>23.57</v>
      </c>
      <c r="H145" s="16" t="inlineStr">
        <is>
          <t>1,3,4,5</t>
        </is>
      </c>
    </row>
    <row r="146">
      <c r="B146" s="10" t="inlineStr">
        <is>
          <t>MFC-KOL-02</t>
        </is>
      </c>
      <c r="C146" s="10" t="inlineStr">
        <is>
          <t>Kolkata</t>
        </is>
      </c>
      <c r="D146" s="10" t="inlineStr">
        <is>
          <t>New Town</t>
        </is>
      </c>
      <c r="E146" s="10" t="n">
        <v>70</v>
      </c>
      <c r="F146" s="30" t="n">
        <v>6045000</v>
      </c>
      <c r="G146" s="12" t="n">
        <v>27.62</v>
      </c>
      <c r="H146" s="10" t="inlineStr"/>
    </row>
    <row r="147">
      <c r="B147" s="16" t="inlineStr">
        <is>
          <t>MFC-KOL-03</t>
        </is>
      </c>
      <c r="C147" s="16" t="inlineStr">
        <is>
          <t>Kolkata</t>
        </is>
      </c>
      <c r="D147" s="16" t="inlineStr">
        <is>
          <t>Behala</t>
        </is>
      </c>
      <c r="E147" s="16" t="n">
        <v>60</v>
      </c>
      <c r="F147" s="32" t="n">
        <v>5505000</v>
      </c>
      <c r="G147" s="18" t="n">
        <v>27.14</v>
      </c>
      <c r="H147" s="16" t="inlineStr"/>
    </row>
    <row r="148">
      <c r="B148" s="10" t="inlineStr">
        <is>
          <t>MFC-KOL-04</t>
        </is>
      </c>
      <c r="C148" s="10" t="inlineStr">
        <is>
          <t>Kolkata</t>
        </is>
      </c>
      <c r="D148" s="10" t="inlineStr">
        <is>
          <t>Jadavpur</t>
        </is>
      </c>
      <c r="E148" s="10" t="n">
        <v>70</v>
      </c>
      <c r="F148" s="30" t="n">
        <v>6045000</v>
      </c>
      <c r="G148" s="12" t="n">
        <v>29.52</v>
      </c>
      <c r="H148" s="10" t="inlineStr">
        <is>
          <t>2</t>
        </is>
      </c>
    </row>
    <row r="149">
      <c r="B149" s="16" t="inlineStr">
        <is>
          <t>MFC-KOL-05</t>
        </is>
      </c>
      <c r="C149" s="16" t="inlineStr">
        <is>
          <t>Kolkata</t>
        </is>
      </c>
      <c r="D149" s="16" t="inlineStr">
        <is>
          <t>Dum Dum</t>
        </is>
      </c>
      <c r="E149" s="16" t="n">
        <v>55</v>
      </c>
      <c r="F149" s="32" t="n">
        <v>5235000</v>
      </c>
      <c r="G149" s="18" t="n">
        <v>18.99</v>
      </c>
      <c r="H149" s="16" t="inlineStr">
        <is>
          <t>3,4,5</t>
        </is>
      </c>
    </row>
    <row r="150">
      <c r="B150" s="10" t="inlineStr">
        <is>
          <t>MFC-KOL-06</t>
        </is>
      </c>
      <c r="C150" s="10" t="inlineStr">
        <is>
          <t>Kolkata</t>
        </is>
      </c>
      <c r="D150" s="10" t="inlineStr">
        <is>
          <t>Shyambazar</t>
        </is>
      </c>
      <c r="E150" s="10" t="n">
        <v>65</v>
      </c>
      <c r="F150" s="30" t="n">
        <v>5775000</v>
      </c>
      <c r="G150" s="12" t="n">
        <v>16.04</v>
      </c>
      <c r="H150" s="10" t="inlineStr">
        <is>
          <t>2</t>
        </is>
      </c>
    </row>
    <row r="151">
      <c r="B151" s="16" t="inlineStr">
        <is>
          <t>MFC-KOL-07</t>
        </is>
      </c>
      <c r="C151" s="16" t="inlineStr">
        <is>
          <t>Kolkata</t>
        </is>
      </c>
      <c r="D151" s="16" t="inlineStr">
        <is>
          <t>Howrah Maidan</t>
        </is>
      </c>
      <c r="E151" s="16" t="n">
        <v>55</v>
      </c>
      <c r="F151" s="32" t="n">
        <v>5235000</v>
      </c>
      <c r="G151" s="18" t="n">
        <v>14.21</v>
      </c>
      <c r="H151" s="16" t="inlineStr">
        <is>
          <t>5</t>
        </is>
      </c>
    </row>
    <row r="152">
      <c r="B152" s="10" t="inlineStr">
        <is>
          <t>MFC-KOL-08</t>
        </is>
      </c>
      <c r="C152" s="10" t="inlineStr">
        <is>
          <t>Kolkata</t>
        </is>
      </c>
      <c r="D152" s="10" t="inlineStr">
        <is>
          <t>Tollygunge</t>
        </is>
      </c>
      <c r="E152" s="10" t="n">
        <v>75</v>
      </c>
      <c r="F152" s="30" t="n">
        <v>6315000</v>
      </c>
      <c r="G152" s="12" t="n">
        <v>28.11</v>
      </c>
      <c r="H152" s="10" t="inlineStr">
        <is>
          <t>3,4,5</t>
        </is>
      </c>
    </row>
    <row r="153">
      <c r="B153" s="16" t="inlineStr">
        <is>
          <t>MFC-KOL-09</t>
        </is>
      </c>
      <c r="C153" s="16" t="inlineStr">
        <is>
          <t>Kolkata</t>
        </is>
      </c>
      <c r="D153" s="16" t="inlineStr">
        <is>
          <t>Kasba</t>
        </is>
      </c>
      <c r="E153" s="16" t="n">
        <v>80</v>
      </c>
      <c r="F153" s="32" t="n">
        <v>6585000</v>
      </c>
      <c r="G153" s="18" t="n">
        <v>27.92</v>
      </c>
      <c r="H153" s="16" t="inlineStr"/>
    </row>
    <row r="154">
      <c r="B154" s="10" t="inlineStr">
        <is>
          <t>MFC-KOL-10</t>
        </is>
      </c>
      <c r="C154" s="10" t="inlineStr">
        <is>
          <t>Kolkata</t>
        </is>
      </c>
      <c r="D154" s="10" t="inlineStr">
        <is>
          <t>Bally</t>
        </is>
      </c>
      <c r="E154" s="10" t="n">
        <v>45</v>
      </c>
      <c r="F154" s="30" t="n">
        <v>4695000</v>
      </c>
      <c r="G154" s="12" t="n">
        <v>7.92</v>
      </c>
      <c r="H154" s="10" t="inlineStr">
        <is>
          <t>4,5</t>
        </is>
      </c>
    </row>
  </sheetData>
  <mergeCells count="1">
    <mergeCell ref="B1:Q1"/>
  </mergeCells>
  <conditionalFormatting sqref="K6:K10">
    <cfRule type="dataBar" priority="1">
      <dataBar showValue="1">
        <cfvo type="min"/>
        <cfvo type="max"/>
        <color rgb="00E3A21A"/>
      </dataBar>
    </cfRule>
  </conditionalFormatting>
  <conditionalFormatting sqref="F6:F10">
    <cfRule type="colorScale" priority="2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L66:L95">
    <cfRule type="colorScale" priority="3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E100:E154">
    <cfRule type="dataBar" priority="4">
      <dataBar showValue="1">
        <cfvo type="min"/>
        <cfvo type="max"/>
        <color rgb="00C2413B"/>
      </dataBar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1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R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n"/>
      <c r="B1" s="2" t="inlineStr">
        <is>
          <t>Facility Economics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" customHeight="1">
      <c r="B2" s="3" t="inlineStr">
        <is>
          <t>Live five-year NPV of each city's best MFC configuration · edit WACC/growth on 'Master Data &amp; Assumptions' · Python tie-out column</t>
        </is>
      </c>
    </row>
    <row r="4">
      <c r="B4" s="37" t="inlineStr">
        <is>
          <t>WACC</t>
        </is>
      </c>
      <c r="C4" s="62">
        <f>'Master Data &amp; Assumptions'!$M$17</f>
        <v/>
      </c>
      <c r="E4" s="37" t="inlineStr">
        <is>
          <t>Year t</t>
        </is>
      </c>
      <c r="F4" s="37" t="n">
        <v>1</v>
      </c>
      <c r="G4" s="37" t="n">
        <v>2</v>
      </c>
      <c r="H4" s="37" t="n">
        <v>3</v>
      </c>
      <c r="I4" s="37" t="n">
        <v>4</v>
      </c>
      <c r="J4" s="37" t="n">
        <v>5</v>
      </c>
    </row>
    <row r="5">
      <c r="B5" s="37" t="inlineStr">
        <is>
          <t>Demand growth</t>
        </is>
      </c>
      <c r="C5" s="62">
        <f>'Master Data &amp; Assumptions'!$M$18</f>
        <v/>
      </c>
    </row>
    <row r="6">
      <c r="B6" s="7" t="inlineStr">
        <is>
          <t>Cash flows and NPV (₹)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 ht="30" customHeight="1">
      <c r="B7" s="63" t="inlineStr">
        <is>
          <t>City</t>
        </is>
      </c>
      <c r="C7" s="63" t="inlineStr">
        <is>
          <t>p</t>
        </is>
      </c>
      <c r="D7" s="63" t="inlineStr">
        <is>
          <t>Capex ₹</t>
        </is>
      </c>
      <c r="E7" s="63" t="inlineStr">
        <is>
          <t>Fixed opex ₹/yr</t>
        </is>
      </c>
      <c r="F7" s="63" t="inlineStr">
        <is>
          <t>Line-haul ₹/yr</t>
        </is>
      </c>
      <c r="G7" s="63" t="inlineStr">
        <is>
          <t>Saving Y1 ₹</t>
        </is>
      </c>
      <c r="H7" s="63" t="inlineStr">
        <is>
          <t>CF Y0</t>
        </is>
      </c>
      <c r="I7" s="63" t="inlineStr">
        <is>
          <t>CF Y1</t>
        </is>
      </c>
      <c r="J7" s="63" t="inlineStr">
        <is>
          <t>CF Y2</t>
        </is>
      </c>
      <c r="K7" s="63" t="inlineStr">
        <is>
          <t>CF Y3</t>
        </is>
      </c>
      <c r="L7" s="63" t="inlineStr">
        <is>
          <t>CF Y4</t>
        </is>
      </c>
      <c r="M7" s="63" t="inlineStr">
        <is>
          <t>CF Y5</t>
        </is>
      </c>
      <c r="N7" s="63" t="inlineStr">
        <is>
          <t>NPV (formula)</t>
        </is>
      </c>
      <c r="O7" s="63" t="inlineStr">
        <is>
          <t>NPV (Python)</t>
        </is>
      </c>
      <c r="P7" s="63" t="inlineStr">
        <is>
          <t>Tie-out diff</t>
        </is>
      </c>
      <c r="Q7" s="63" t="inlineStr">
        <is>
          <t>Break-even x (formula)</t>
        </is>
      </c>
      <c r="R7" s="63" t="inlineStr">
        <is>
          <t>Payback</t>
        </is>
      </c>
    </row>
    <row r="8">
      <c r="B8" s="23" t="inlineStr">
        <is>
          <t>Mumbai MMR</t>
        </is>
      </c>
      <c r="C8" s="23" t="n">
        <v>1</v>
      </c>
      <c r="D8" s="64" t="n">
        <v>6500000</v>
      </c>
      <c r="E8" s="64" t="n">
        <v>10680000</v>
      </c>
      <c r="F8" s="64" t="n">
        <v>2170332</v>
      </c>
      <c r="G8" s="64" t="n">
        <v>1725400</v>
      </c>
      <c r="H8" s="65">
        <f>-D8</f>
        <v/>
      </c>
      <c r="I8" s="65">
        <f>$G8*(1+$C$5)^(1-1)-$E8-$F8</f>
        <v/>
      </c>
      <c r="J8" s="65">
        <f>$G8*(1+$C$5)^(2-1)-$E8-$F8</f>
        <v/>
      </c>
      <c r="K8" s="65">
        <f>$G8*(1+$C$5)^(3-1)-$E8-$F8</f>
        <v/>
      </c>
      <c r="L8" s="65">
        <f>$G8*(1+$C$5)^(4-1)-$E8-$F8</f>
        <v/>
      </c>
      <c r="M8" s="65">
        <f>$G8*(1+$C$5)^(5-1)-$E8-$F8</f>
        <v/>
      </c>
      <c r="N8" s="65">
        <f>H8+SUMPRODUCT(I8:M8,1/(1+$C$4)^$F$4:$J$4)</f>
        <v/>
      </c>
      <c r="O8" s="65" t="n">
        <v>-44249197</v>
      </c>
      <c r="P8" s="65">
        <f>N8-O8</f>
        <v/>
      </c>
      <c r="Q8" s="66">
        <f>IFERROR((D8+(E8+F8)*SUMPRODUCT(1/(1+$C$4)^$F$4:$J$4))/(G8*SUMPRODUCT((1+$C$5)^($F$4:$J$4-1)/(1+$C$4)^$F$4:$J$4)),"n/a")</f>
        <v/>
      </c>
      <c r="R8">
        <f>IF(SUM(H8:M8)&lt;0,"&gt; 5 yrs","within 5 yrs")</f>
        <v/>
      </c>
    </row>
    <row r="9">
      <c r="B9" s="23" t="inlineStr">
        <is>
          <t>Delhi NCR</t>
        </is>
      </c>
      <c r="C9" s="23" t="n">
        <v>1</v>
      </c>
      <c r="D9" s="64" t="n">
        <v>6500000</v>
      </c>
      <c r="E9" s="64" t="n">
        <v>7440000</v>
      </c>
      <c r="F9" s="64" t="n">
        <v>2372642</v>
      </c>
      <c r="G9" s="64" t="n">
        <v>2967113</v>
      </c>
      <c r="H9" s="65">
        <f>-D9</f>
        <v/>
      </c>
      <c r="I9" s="65">
        <f>$G9*(1+$C$5)^(1-1)-$E9-$F9</f>
        <v/>
      </c>
      <c r="J9" s="65">
        <f>$G9*(1+$C$5)^(2-1)-$E9-$F9</f>
        <v/>
      </c>
      <c r="K9" s="65">
        <f>$G9*(1+$C$5)^(3-1)-$E9-$F9</f>
        <v/>
      </c>
      <c r="L9" s="65">
        <f>$G9*(1+$C$5)^(4-1)-$E9-$F9</f>
        <v/>
      </c>
      <c r="M9" s="65">
        <f>$G9*(1+$C$5)^(5-1)-$E9-$F9</f>
        <v/>
      </c>
      <c r="N9" s="65">
        <f>H9+SUMPRODUCT(I9:M9,1/(1+$C$4)^$F$4:$J$4)</f>
        <v/>
      </c>
      <c r="O9" s="65" t="n">
        <v>-27129032</v>
      </c>
      <c r="P9" s="65">
        <f>N9-O9</f>
        <v/>
      </c>
      <c r="Q9" s="66">
        <f>IFERROR((D9+(E9+F9)*SUMPRODUCT(1/(1+$C$4)^$F$4:$J$4))/(G9*SUMPRODUCT((1+$C$5)^($F$4:$J$4-1)/(1+$C$4)^$F$4:$J$4)),"n/a")</f>
        <v/>
      </c>
      <c r="R9">
        <f>IF(SUM(H9:M9)&lt;0,"&gt; 5 yrs","within 5 yrs")</f>
        <v/>
      </c>
    </row>
    <row r="10">
      <c r="B10" s="23" t="inlineStr">
        <is>
          <t>Bengaluru</t>
        </is>
      </c>
      <c r="C10" s="23" t="n">
        <v>1</v>
      </c>
      <c r="D10" s="64" t="n">
        <v>6500000</v>
      </c>
      <c r="E10" s="64" t="n">
        <v>8022000</v>
      </c>
      <c r="F10" s="64" t="n">
        <v>1184809</v>
      </c>
      <c r="G10" s="64" t="n">
        <v>944465</v>
      </c>
      <c r="H10" s="65">
        <f>-D10</f>
        <v/>
      </c>
      <c r="I10" s="65">
        <f>$G10*(1+$C$5)^(1-1)-$E10-$F10</f>
        <v/>
      </c>
      <c r="J10" s="65">
        <f>$G10*(1+$C$5)^(2-1)-$E10-$F10</f>
        <v/>
      </c>
      <c r="K10" s="65">
        <f>$G10*(1+$C$5)^(3-1)-$E10-$F10</f>
        <v/>
      </c>
      <c r="L10" s="65">
        <f>$G10*(1+$C$5)^(4-1)-$E10-$F10</f>
        <v/>
      </c>
      <c r="M10" s="65">
        <f>$G10*(1+$C$5)^(5-1)-$E10-$F10</f>
        <v/>
      </c>
      <c r="N10" s="65">
        <f>H10+SUMPRODUCT(I10:M10,1/(1+$C$4)^$F$4:$J$4)</f>
        <v/>
      </c>
      <c r="O10" s="65" t="n">
        <v>-34995517</v>
      </c>
      <c r="P10" s="65">
        <f>N10-O10</f>
        <v/>
      </c>
      <c r="Q10" s="66">
        <f>IFERROR((D10+(E10+F10)*SUMPRODUCT(1/(1+$C$4)^$F$4:$J$4))/(G10*SUMPRODUCT((1+$C$5)^($F$4:$J$4-1)/(1+$C$4)^$F$4:$J$4)),"n/a")</f>
        <v/>
      </c>
      <c r="R10">
        <f>IF(SUM(H10:M10)&lt;0,"&gt; 5 yrs","within 5 yrs")</f>
        <v/>
      </c>
    </row>
    <row r="11">
      <c r="B11" s="23" t="inlineStr">
        <is>
          <t>Chennai</t>
        </is>
      </c>
      <c r="C11" s="23" t="n">
        <v>1</v>
      </c>
      <c r="D11" s="64" t="n">
        <v>6500000</v>
      </c>
      <c r="E11" s="64" t="n">
        <v>5922000</v>
      </c>
      <c r="F11" s="64" t="n">
        <v>1801647</v>
      </c>
      <c r="G11" s="64" t="n">
        <v>607000</v>
      </c>
      <c r="H11" s="65">
        <f>-D11</f>
        <v/>
      </c>
      <c r="I11" s="65">
        <f>$G11*(1+$C$5)^(1-1)-$E11-$F11</f>
        <v/>
      </c>
      <c r="J11" s="65">
        <f>$G11*(1+$C$5)^(2-1)-$E11-$F11</f>
        <v/>
      </c>
      <c r="K11" s="65">
        <f>$G11*(1+$C$5)^(3-1)-$E11-$F11</f>
        <v/>
      </c>
      <c r="L11" s="65">
        <f>$G11*(1+$C$5)^(4-1)-$E11-$F11</f>
        <v/>
      </c>
      <c r="M11" s="65">
        <f>$G11*(1+$C$5)^(5-1)-$E11-$F11</f>
        <v/>
      </c>
      <c r="N11" s="65">
        <f>H11+SUMPRODUCT(I11:M11,1/(1+$C$4)^$F$4:$J$4)</f>
        <v/>
      </c>
      <c r="O11" s="65" t="n">
        <v>-31325883</v>
      </c>
      <c r="P11" s="65">
        <f>N11-O11</f>
        <v/>
      </c>
      <c r="Q11" s="66">
        <f>IFERROR((D11+(E11+F11)*SUMPRODUCT(1/(1+$C$4)^$F$4:$J$4))/(G11*SUMPRODUCT((1+$C$5)^($F$4:$J$4-1)/(1+$C$4)^$F$4:$J$4)),"n/a")</f>
        <v/>
      </c>
      <c r="R11">
        <f>IF(SUM(H11:M11)&lt;0,"&gt; 5 yrs","within 5 yrs")</f>
        <v/>
      </c>
    </row>
    <row r="12">
      <c r="B12" s="23" t="inlineStr">
        <is>
          <t>Kolkata</t>
        </is>
      </c>
      <c r="C12" s="23" t="n">
        <v>1</v>
      </c>
      <c r="D12" s="64" t="n">
        <v>6500000</v>
      </c>
      <c r="E12" s="64" t="n">
        <v>8205000</v>
      </c>
      <c r="F12" s="64" t="n">
        <v>935239</v>
      </c>
      <c r="G12" s="64" t="n">
        <v>1257008</v>
      </c>
      <c r="H12" s="65">
        <f>-D12</f>
        <v/>
      </c>
      <c r="I12" s="65">
        <f>$G12*(1+$C$5)^(1-1)-$E12-$F12</f>
        <v/>
      </c>
      <c r="J12" s="65">
        <f>$G12*(1+$C$5)^(2-1)-$E12-$F12</f>
        <v/>
      </c>
      <c r="K12" s="65">
        <f>$G12*(1+$C$5)^(3-1)-$E12-$F12</f>
        <v/>
      </c>
      <c r="L12" s="65">
        <f>$G12*(1+$C$5)^(4-1)-$E12-$F12</f>
        <v/>
      </c>
      <c r="M12" s="65">
        <f>$G12*(1+$C$5)^(5-1)-$E12-$F12</f>
        <v/>
      </c>
      <c r="N12" s="65">
        <f>H12+SUMPRODUCT(I12:M12,1/(1+$C$4)^$F$4:$J$4)</f>
        <v/>
      </c>
      <c r="O12" s="65" t="n">
        <v>-33202547</v>
      </c>
      <c r="P12" s="65">
        <f>N12-O12</f>
        <v/>
      </c>
      <c r="Q12" s="66">
        <f>IFERROR((D12+(E12+F12)*SUMPRODUCT(1/(1+$C$4)^$F$4:$J$4))/(G12*SUMPRODUCT((1+$C$5)^($F$4:$J$4-1)/(1+$C$4)^$F$4:$J$4)),"n/a")</f>
        <v/>
      </c>
      <c r="R12">
        <f>IF(SUM(H12:M12)&lt;0,"&gt; 5 yrs","within 5 yrs")</f>
        <v/>
      </c>
    </row>
    <row r="13">
      <c r="B13" s="37" t="inlineStr">
        <is>
          <t>All cities</t>
        </is>
      </c>
      <c r="D13" s="67">
        <f>SUM(D8:D12)</f>
        <v/>
      </c>
      <c r="E13" s="67">
        <f>SUM(E8:E12)</f>
        <v/>
      </c>
      <c r="F13" s="67">
        <f>SUM(F8:F12)</f>
        <v/>
      </c>
      <c r="G13" s="67">
        <f>SUM(G8:G12)</f>
        <v/>
      </c>
      <c r="H13" s="67">
        <f>SUM(H8:H12)</f>
        <v/>
      </c>
      <c r="I13" s="67">
        <f>SUM(I8:I12)</f>
        <v/>
      </c>
      <c r="J13" s="67">
        <f>SUM(J8:J12)</f>
        <v/>
      </c>
      <c r="K13" s="67">
        <f>SUM(K8:K12)</f>
        <v/>
      </c>
      <c r="L13" s="67">
        <f>SUM(L8:L12)</f>
        <v/>
      </c>
      <c r="M13" s="67">
        <f>SUM(M8:M12)</f>
        <v/>
      </c>
      <c r="N13" s="67">
        <f>SUM(N8:N12)</f>
        <v/>
      </c>
    </row>
    <row r="35">
      <c r="B35" s="7" t="inlineStr">
        <is>
          <t>One-way sensitivity of best-configuration NPV (₹ crore)</t>
        </is>
      </c>
      <c r="C35" s="8" t="n"/>
      <c r="D35" s="8" t="n"/>
      <c r="E35" s="8" t="n"/>
      <c r="F35" s="8" t="n"/>
      <c r="G35" s="8" t="n"/>
      <c r="H35" s="8" t="n"/>
      <c r="I35" s="8" t="n"/>
    </row>
    <row r="36">
      <c r="B36" s="22" t="inlineStr">
        <is>
          <t>Levers: WACC, MFC capex, parcel growth, variable last-mile cost per order-km.</t>
        </is>
      </c>
    </row>
    <row r="37" ht="30" customHeight="1">
      <c r="B37" s="9" t="inlineStr">
        <is>
          <t>Lever setting</t>
        </is>
      </c>
      <c r="C37" s="9" t="inlineStr">
        <is>
          <t>Mumbai MMR</t>
        </is>
      </c>
      <c r="D37" s="9" t="inlineStr">
        <is>
          <t>Delhi NCR</t>
        </is>
      </c>
      <c r="E37" s="9" t="inlineStr">
        <is>
          <t>Bengaluru</t>
        </is>
      </c>
      <c r="F37" s="9" t="inlineStr">
        <is>
          <t>Chennai</t>
        </is>
      </c>
      <c r="G37" s="9" t="inlineStr">
        <is>
          <t>Kolkata</t>
        </is>
      </c>
    </row>
    <row r="38">
      <c r="B38" s="10" t="inlineStr">
        <is>
          <t>capex_pct +0%</t>
        </is>
      </c>
      <c r="C38" s="60" t="n">
        <v>-4.4249197</v>
      </c>
      <c r="D38" s="60" t="n">
        <v>-2.7129032</v>
      </c>
      <c r="E38" s="60" t="n">
        <v>-3.4995517</v>
      </c>
      <c r="F38" s="60" t="n">
        <v>-3.1325883</v>
      </c>
      <c r="G38" s="60" t="n">
        <v>-3.3202547</v>
      </c>
    </row>
    <row r="39">
      <c r="B39" s="16" t="inlineStr">
        <is>
          <t>capex_pct +20%</t>
        </is>
      </c>
      <c r="C39" s="61" t="n">
        <v>-4.5549197</v>
      </c>
      <c r="D39" s="61" t="n">
        <v>-2.8429032</v>
      </c>
      <c r="E39" s="61" t="n">
        <v>-3.6295517</v>
      </c>
      <c r="F39" s="61" t="n">
        <v>-3.2625883</v>
      </c>
      <c r="G39" s="61" t="n">
        <v>-3.4502547</v>
      </c>
    </row>
    <row r="40">
      <c r="B40" s="10" t="inlineStr">
        <is>
          <t>capex_pct -20%</t>
        </is>
      </c>
      <c r="C40" s="60" t="n">
        <v>-4.2949197</v>
      </c>
      <c r="D40" s="60" t="n">
        <v>-2.5829032</v>
      </c>
      <c r="E40" s="60" t="n">
        <v>-3.3695517</v>
      </c>
      <c r="F40" s="60" t="n">
        <v>-3.0025883</v>
      </c>
      <c r="G40" s="60" t="n">
        <v>-3.1902547</v>
      </c>
    </row>
    <row r="41">
      <c r="B41" s="16" t="inlineStr">
        <is>
          <t>growth 18%</t>
        </is>
      </c>
      <c r="C41" s="61" t="n">
        <v>-4.4249197</v>
      </c>
      <c r="D41" s="61" t="n">
        <v>-2.7129032</v>
      </c>
      <c r="E41" s="61" t="n">
        <v>-3.4995517</v>
      </c>
      <c r="F41" s="61" t="n">
        <v>-3.1325883</v>
      </c>
      <c r="G41" s="61" t="n">
        <v>-3.3202547</v>
      </c>
    </row>
    <row r="42">
      <c r="B42" s="10" t="inlineStr">
        <is>
          <t>growth 28%</t>
        </is>
      </c>
      <c r="C42" s="60" t="n">
        <v>-4.2581634</v>
      </c>
      <c r="D42" s="60" t="n">
        <v>-2.4261379</v>
      </c>
      <c r="E42" s="60" t="n">
        <v>-3.4082711</v>
      </c>
      <c r="F42" s="60" t="n">
        <v>-3.073923</v>
      </c>
      <c r="G42" s="60" t="n">
        <v>-3.1987676</v>
      </c>
    </row>
    <row r="43">
      <c r="B43" s="16" t="inlineStr">
        <is>
          <t>growth 8%</t>
        </is>
      </c>
      <c r="C43" s="61" t="n">
        <v>-4.5650783</v>
      </c>
      <c r="D43" s="61" t="n">
        <v>-2.9539292</v>
      </c>
      <c r="E43" s="61" t="n">
        <v>-3.5762729</v>
      </c>
      <c r="F43" s="61" t="n">
        <v>-3.1818964</v>
      </c>
      <c r="G43" s="61" t="n">
        <v>-3.4223646</v>
      </c>
    </row>
    <row r="44">
      <c r="B44" s="10" t="inlineStr">
        <is>
          <t>variable_cost_pct +0%</t>
        </is>
      </c>
      <c r="C44" s="60" t="n">
        <v>-4.4249197</v>
      </c>
      <c r="D44" s="60" t="n">
        <v>-2.7129032</v>
      </c>
      <c r="E44" s="60" t="n">
        <v>-3.4995517</v>
      </c>
      <c r="F44" s="60" t="n">
        <v>-3.1325883</v>
      </c>
      <c r="G44" s="60" t="n">
        <v>-3.3202547</v>
      </c>
    </row>
    <row r="45">
      <c r="B45" s="16" t="inlineStr">
        <is>
          <t>variable_cost_pct +20%</t>
        </is>
      </c>
      <c r="C45" s="61" t="n">
        <v>-4.2534522</v>
      </c>
      <c r="D45" s="61" t="n">
        <v>-2.4180363</v>
      </c>
      <c r="E45" s="61" t="n">
        <v>-3.4056923</v>
      </c>
      <c r="F45" s="61" t="n">
        <v>-3.0722656</v>
      </c>
      <c r="G45" s="61" t="n">
        <v>-3.1953353</v>
      </c>
    </row>
    <row r="46">
      <c r="B46" s="10" t="inlineStr">
        <is>
          <t>variable_cost_pct -20%</t>
        </is>
      </c>
      <c r="C46" s="60" t="n">
        <v>-4.5963872</v>
      </c>
      <c r="D46" s="60" t="n">
        <v>-3.0077701</v>
      </c>
      <c r="E46" s="60" t="n">
        <v>-3.5934111</v>
      </c>
      <c r="F46" s="60" t="n">
        <v>-3.192911</v>
      </c>
      <c r="G46" s="60" t="n">
        <v>-3.4451741</v>
      </c>
    </row>
    <row r="47">
      <c r="B47" s="16" t="inlineStr">
        <is>
          <t>wacc 10%</t>
        </is>
      </c>
      <c r="C47" s="61" t="n">
        <v>-4.6143356</v>
      </c>
      <c r="D47" s="61" t="n">
        <v>-2.8101094</v>
      </c>
      <c r="E47" s="61" t="n">
        <v>-3.64365</v>
      </c>
      <c r="F47" s="61" t="n">
        <v>-3.258802</v>
      </c>
      <c r="G47" s="61" t="n">
        <v>-3.4541276</v>
      </c>
    </row>
    <row r="48">
      <c r="B48" s="10" t="inlineStr">
        <is>
          <t>wacc 12%</t>
        </is>
      </c>
      <c r="C48" s="60" t="n">
        <v>-4.4249197</v>
      </c>
      <c r="D48" s="60" t="n">
        <v>-2.7129032</v>
      </c>
      <c r="E48" s="60" t="n">
        <v>-3.4995517</v>
      </c>
      <c r="F48" s="60" t="n">
        <v>-3.1325883</v>
      </c>
      <c r="G48" s="60" t="n">
        <v>-3.3202547</v>
      </c>
    </row>
    <row r="49">
      <c r="B49" s="16" t="inlineStr">
        <is>
          <t>wacc 14%</t>
        </is>
      </c>
      <c r="C49" s="61" t="n">
        <v>-4.2498668</v>
      </c>
      <c r="D49" s="61" t="n">
        <v>-2.6228093</v>
      </c>
      <c r="E49" s="61" t="n">
        <v>-3.3664258</v>
      </c>
      <c r="F49" s="61" t="n">
        <v>-3.0160125</v>
      </c>
      <c r="G49" s="61" t="n">
        <v>-3.1965285</v>
      </c>
    </row>
    <row r="51" ht="26" customHeight="1">
      <c r="B51" s="26" t="inlineStr">
        <is>
          <t>Tie-out: 'NPV (formula)' is recomputed in Excel from the cash-flow inputs; 'NPV (Python)' is the network_designer output at base assumptions. A non-zero difference appears only when the WACC or growth levers are edited. Break-even = volume multiple at which NPV = 0 with the same sites.</t>
        </is>
      </c>
    </row>
  </sheetData>
  <mergeCells count="2">
    <mergeCell ref="B51:Q51"/>
    <mergeCell ref="B1:R1"/>
  </mergeCells>
  <conditionalFormatting sqref="N8:N12">
    <cfRule type="colorScale" priority="1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Q8:Q12">
    <cfRule type="dataBar" priority="2">
      <dataBar showValue="1">
        <cfvo type="min"/>
        <cfvo type="max"/>
        <color rgb="00E3A21A"/>
      </dataBar>
    </cfRule>
  </conditionalFormatting>
  <conditionalFormatting sqref="P8:P12">
    <cfRule type="expression" priority="3" dxfId="0">
      <formula>ABS(P8)&gt;1000</formula>
    </cfRule>
  </conditionalFormatting>
  <conditionalFormatting sqref="C38:G49">
    <cfRule type="colorScale" priority="4">
      <colorScale>
        <cfvo type="min"/>
        <cfvo type="percentile" val="50"/>
        <cfvo type="max"/>
        <color rgb="00F8D9D6"/>
        <color rgb="00FFF6DD"/>
        <color rgb="00D7EEE0"/>
      </colorScale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R8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4" customWidth="1" min="15" max="15"/>
    <col width="14" customWidth="1" min="16" max="16"/>
    <col width="14" customWidth="1" min="17" max="17"/>
  </cols>
  <sheetData>
    <row r="1" ht="34" customHeight="1">
      <c r="A1" s="1" t="n"/>
      <c r="B1" s="2" t="inlineStr">
        <is>
          <t>ML Performance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8" customHeight="1">
      <c r="B2" s="3" t="inlineStr">
        <is>
          <t>Time-ordered validation (last 21 days unseen) · models used only where they beat a simple baseline</t>
        </is>
      </c>
    </row>
    <row r="4" ht="30" customHeight="1">
      <c r="B4" s="41" t="n">
        <v>0.2430325472617424</v>
      </c>
      <c r="C4" s="5" t="n"/>
      <c r="D4" s="5" t="n"/>
      <c r="E4" s="5" t="n"/>
      <c r="F4" s="41" t="n">
        <v>0.2481572481572482</v>
      </c>
      <c r="G4" s="5" t="n"/>
      <c r="H4" s="5" t="n"/>
      <c r="I4" s="5" t="n"/>
      <c r="J4" s="68" t="inlineStr">
        <is>
          <t>2025-11-09</t>
        </is>
      </c>
      <c r="K4" s="5" t="n"/>
      <c r="L4" s="5" t="n"/>
      <c r="M4" s="5" t="n"/>
    </row>
    <row r="5" ht="26" customHeight="1">
      <c r="B5" s="6" t="inlineStr">
        <is>
          <t>Travel-time MAE reduction vs planning formula · 10.3 -&gt; 7.8 min</t>
        </is>
      </c>
      <c r="C5" s="5" t="n"/>
      <c r="D5" s="5" t="n"/>
      <c r="E5" s="5" t="n"/>
      <c r="F5" s="6" t="inlineStr">
        <is>
          <t>Demand MAE reduction vs seasonal naive · 7.73 -&gt; 5.81 orders/zone-day</t>
        </is>
      </c>
      <c r="G5" s="5" t="n"/>
      <c r="H5" s="5" t="n"/>
      <c r="I5" s="5" t="n"/>
      <c r="J5" s="69" t="inlineStr">
        <is>
          <t>Validation window starts</t>
        </is>
      </c>
      <c r="K5" s="5" t="n"/>
      <c r="L5" s="5" t="n"/>
      <c r="M5" s="5" t="n"/>
    </row>
    <row r="7">
      <c r="B7" s="7" t="inlineStr">
        <is>
          <t>Validation metrics</t>
        </is>
      </c>
      <c r="C7" s="8" t="n"/>
      <c r="D7" s="8" t="n"/>
      <c r="E7" s="8" t="n"/>
      <c r="F7" s="8" t="n"/>
      <c r="G7" s="8" t="n"/>
      <c r="H7" s="8" t="n"/>
      <c r="I7" s="8" t="n"/>
      <c r="J7" s="8" t="n"/>
    </row>
    <row r="8" ht="30" customHeight="1">
      <c r="B8" s="9" t="inlineStr">
        <is>
          <t>model</t>
        </is>
      </c>
      <c r="C8" s="9" t="inlineStr">
        <is>
          <t>approach</t>
        </is>
      </c>
      <c r="D8" s="9" t="inlineStr">
        <is>
          <t>MAE</t>
        </is>
      </c>
      <c r="E8" s="9" t="inlineStr">
        <is>
          <t>RMSE</t>
        </is>
      </c>
      <c r="F8" s="9" t="inlineStr">
        <is>
          <t>MAPE</t>
        </is>
      </c>
      <c r="G8" s="9" t="inlineStr">
        <is>
          <t>n</t>
        </is>
      </c>
      <c r="H8" s="9" t="inlineStr">
        <is>
          <t>unit</t>
        </is>
      </c>
      <c r="I8" s="9" t="inlineStr">
        <is>
          <t>validation_start</t>
        </is>
      </c>
    </row>
    <row r="9">
      <c r="B9" s="10" t="inlineStr">
        <is>
          <t>Travel time</t>
        </is>
      </c>
      <c r="C9" s="10" t="inlineStr">
        <is>
          <t>Planning formula (baseline)</t>
        </is>
      </c>
      <c r="D9" s="11" t="n">
        <v>10.262</v>
      </c>
      <c r="E9" s="11" t="n">
        <v>16.057</v>
      </c>
      <c r="F9" s="70" t="n">
        <v>16.4</v>
      </c>
      <c r="G9" s="13" t="n">
        <v>12520</v>
      </c>
      <c r="H9" s="10" t="inlineStr">
        <is>
          <t>minutes</t>
        </is>
      </c>
      <c r="I9" s="10" t="inlineStr">
        <is>
          <t>2025-11-09</t>
        </is>
      </c>
    </row>
    <row r="10">
      <c r="B10" s="16" t="inlineStr">
        <is>
          <t>Travel time</t>
        </is>
      </c>
      <c r="C10" s="16" t="inlineStr">
        <is>
          <t>Gradient boosting (log ratio)</t>
        </is>
      </c>
      <c r="D10" s="17" t="n">
        <v>7.768</v>
      </c>
      <c r="E10" s="17" t="n">
        <v>12.016</v>
      </c>
      <c r="F10" s="71" t="n">
        <v>12.93</v>
      </c>
      <c r="G10" s="19" t="n">
        <v>12520</v>
      </c>
      <c r="H10" s="16" t="inlineStr">
        <is>
          <t>minutes</t>
        </is>
      </c>
      <c r="I10" s="16" t="inlineStr">
        <is>
          <t>2025-11-09</t>
        </is>
      </c>
    </row>
    <row r="11">
      <c r="B11" s="10" t="inlineStr">
        <is>
          <t>Zone daily demand</t>
        </is>
      </c>
      <c r="C11" s="10" t="inlineStr">
        <is>
          <t>Seasonal naive (baseline)</t>
        </is>
      </c>
      <c r="D11" s="11" t="n">
        <v>7.733</v>
      </c>
      <c r="E11" s="11" t="n">
        <v>9.786</v>
      </c>
      <c r="F11" s="70" t="n">
        <v>20.21</v>
      </c>
      <c r="G11" s="13" t="n">
        <v>525</v>
      </c>
      <c r="H11" s="10" t="inlineStr">
        <is>
          <t>orders</t>
        </is>
      </c>
      <c r="I11" s="10" t="inlineStr">
        <is>
          <t>2025-11-09</t>
        </is>
      </c>
    </row>
    <row r="12">
      <c r="B12" s="16" t="inlineStr">
        <is>
          <t>Zone daily demand</t>
        </is>
      </c>
      <c r="C12" s="16" t="inlineStr">
        <is>
          <t>Gradient boosting (calendar)</t>
        </is>
      </c>
      <c r="D12" s="17" t="n">
        <v>5.814</v>
      </c>
      <c r="E12" s="17" t="n">
        <v>7.487</v>
      </c>
      <c r="F12" s="71" t="n">
        <v>14.46</v>
      </c>
      <c r="G12" s="19" t="n">
        <v>525</v>
      </c>
      <c r="H12" s="16" t="inlineStr">
        <is>
          <t>orders</t>
        </is>
      </c>
      <c r="I12" s="16" t="inlineStr">
        <is>
          <t>2025-11-09</t>
        </is>
      </c>
    </row>
    <row r="15">
      <c r="B15" s="7" t="inlineStr">
        <is>
          <t>Learned zone travel-time calibration (fed to routing and fleet sizing)</t>
        </is>
      </c>
      <c r="C15" s="8" t="n"/>
      <c r="D15" s="8" t="n"/>
      <c r="E15" s="8" t="n"/>
      <c r="F15" s="8" t="n"/>
      <c r="G15" s="8" t="n"/>
      <c r="O15" s="7" t="inlineStr">
        <is>
          <t>Top travel-time features</t>
        </is>
      </c>
      <c r="P15" s="8" t="n"/>
      <c r="Q15" s="8" t="n"/>
      <c r="R15" s="8" t="n"/>
    </row>
    <row r="16">
      <c r="B16" s="22" t="inlineStr">
        <is>
          <t>Factor &gt; 1 = slower than the network-wide planning formula (congestion, river crossings); &lt; 1 = faster.</t>
        </is>
      </c>
    </row>
    <row r="17" ht="30" customHeight="1">
      <c r="B17" s="9" t="inlineStr">
        <is>
          <t>City</t>
        </is>
      </c>
      <c r="C17" s="9" t="inlineStr">
        <is>
          <t>Zone</t>
        </is>
      </c>
      <c r="D17" s="9" t="inlineStr">
        <is>
          <t>Travel-time factor vs plan</t>
        </is>
      </c>
      <c r="O17" s="9" t="inlineStr">
        <is>
          <t>feature</t>
        </is>
      </c>
      <c r="P17" s="9" t="inlineStr">
        <is>
          <t>importance</t>
        </is>
      </c>
    </row>
    <row r="18">
      <c r="B18" s="10" t="inlineStr">
        <is>
          <t>Bengaluru</t>
        </is>
      </c>
      <c r="C18" s="10" t="inlineStr">
        <is>
          <t>Central Bengaluru</t>
        </is>
      </c>
      <c r="D18" s="72" t="n">
        <v>1.128</v>
      </c>
      <c r="O18" s="10" t="inlineStr">
        <is>
          <t>vehicle_type_TWO_WHEELER</t>
        </is>
      </c>
      <c r="P18" s="72" t="n">
        <v>0.2630512060624679</v>
      </c>
    </row>
    <row r="19">
      <c r="B19" s="16" t="inlineStr">
        <is>
          <t>Bengaluru</t>
        </is>
      </c>
      <c r="C19" s="16" t="inlineStr">
        <is>
          <t>East Bengaluru</t>
        </is>
      </c>
      <c r="D19" s="73" t="n">
        <v>1.1233</v>
      </c>
      <c r="O19" s="16" t="inlineStr">
        <is>
          <t>rain</t>
        </is>
      </c>
      <c r="P19" s="73" t="n">
        <v>0.2020865024837752</v>
      </c>
    </row>
    <row r="20">
      <c r="B20" s="10" t="inlineStr">
        <is>
          <t>Bengaluru</t>
        </is>
      </c>
      <c r="C20" s="10" t="inlineStr">
        <is>
          <t>North Bengaluru</t>
        </is>
      </c>
      <c r="D20" s="72" t="n">
        <v>1.1079</v>
      </c>
      <c r="O20" s="10" t="inlineStr">
        <is>
          <t>event_traffic</t>
        </is>
      </c>
      <c r="P20" s="72" t="n">
        <v>0.1836672545599682</v>
      </c>
    </row>
    <row r="21">
      <c r="B21" s="16" t="inlineStr">
        <is>
          <t>Bengaluru</t>
        </is>
      </c>
      <c r="C21" s="16" t="inlineStr">
        <is>
          <t>South Bengaluru</t>
        </is>
      </c>
      <c r="D21" s="73" t="n">
        <v>1.1128</v>
      </c>
      <c r="O21" s="16" t="inlineStr">
        <is>
          <t>city_id_CHE</t>
        </is>
      </c>
      <c r="P21" s="73" t="n">
        <v>0.09632677083221232</v>
      </c>
    </row>
    <row r="22">
      <c r="B22" s="10" t="inlineStr">
        <is>
          <t>Bengaluru</t>
        </is>
      </c>
      <c r="C22" s="10" t="inlineStr">
        <is>
          <t>West Bengaluru</t>
        </is>
      </c>
      <c r="D22" s="72" t="n">
        <v>1.1113</v>
      </c>
      <c r="O22" s="10" t="inlineStr">
        <is>
          <t>city_id_BLR</t>
        </is>
      </c>
      <c r="P22" s="72" t="n">
        <v>0.08015106490672498</v>
      </c>
    </row>
    <row r="23">
      <c r="B23" s="16" t="inlineStr">
        <is>
          <t>Chennai</t>
        </is>
      </c>
      <c r="C23" s="16" t="inlineStr">
        <is>
          <t>Central Chennai</t>
        </is>
      </c>
      <c r="D23" s="73" t="n">
        <v>0.9104</v>
      </c>
      <c r="O23" s="16" t="inlineStr">
        <is>
          <t>city_id_KOL</t>
        </is>
      </c>
      <c r="P23" s="73" t="n">
        <v>0.05086971274703743</v>
      </c>
    </row>
    <row r="24">
      <c r="B24" s="10" t="inlineStr">
        <is>
          <t>Chennai</t>
        </is>
      </c>
      <c r="C24" s="10" t="inlineStr">
        <is>
          <t>North Chennai</t>
        </is>
      </c>
      <c r="D24" s="72" t="n">
        <v>0.8993</v>
      </c>
      <c r="O24" s="10" t="inlineStr">
        <is>
          <t>vehicle_type_VAN_2T</t>
        </is>
      </c>
      <c r="P24" s="72" t="n">
        <v>0.03981734401640864</v>
      </c>
    </row>
    <row r="25">
      <c r="B25" s="16" t="inlineStr">
        <is>
          <t>Chennai</t>
        </is>
      </c>
      <c r="C25" s="16" t="inlineStr">
        <is>
          <t>OMR Corridor</t>
        </is>
      </c>
      <c r="D25" s="73" t="n">
        <v>0.8498</v>
      </c>
      <c r="O25" s="16" t="inlineStr">
        <is>
          <t>city_id_DEL</t>
        </is>
      </c>
      <c r="P25" s="73" t="n">
        <v>0.0282456343216971</v>
      </c>
    </row>
    <row r="26">
      <c r="B26" s="10" t="inlineStr">
        <is>
          <t>Chennai</t>
        </is>
      </c>
      <c r="C26" s="10" t="inlineStr">
        <is>
          <t>South Chennai</t>
        </is>
      </c>
      <c r="D26" s="72" t="n">
        <v>0.8803</v>
      </c>
      <c r="O26" s="10" t="inlineStr">
        <is>
          <t>depart_hour</t>
        </is>
      </c>
      <c r="P26" s="72" t="n">
        <v>0.005637195440363182</v>
      </c>
    </row>
    <row r="27">
      <c r="B27" s="16" t="inlineStr">
        <is>
          <t>Chennai</t>
        </is>
      </c>
      <c r="C27" s="16" t="inlineStr">
        <is>
          <t>West Chennai</t>
        </is>
      </c>
      <c r="D27" s="73" t="n">
        <v>0.8776</v>
      </c>
      <c r="O27" s="16" t="inlineStr">
        <is>
          <t>haversine_km</t>
        </is>
      </c>
      <c r="P27" s="73" t="n">
        <v>0.00540458443448534</v>
      </c>
    </row>
    <row r="28">
      <c r="B28" s="10" t="inlineStr">
        <is>
          <t>Delhi NCR</t>
        </is>
      </c>
      <c r="C28" s="10" t="inlineStr">
        <is>
          <t>Central Delhi</t>
        </is>
      </c>
      <c r="D28" s="72" t="n">
        <v>0.9564</v>
      </c>
      <c r="O28" s="10" t="inlineStr">
        <is>
          <t>dest_zone_OMR Corridor</t>
        </is>
      </c>
      <c r="P28" s="72" t="n">
        <v>0.004549097564841045</v>
      </c>
    </row>
    <row r="29">
      <c r="B29" s="16" t="inlineStr">
        <is>
          <t>Delhi NCR</t>
        </is>
      </c>
      <c r="C29" s="16" t="inlineStr">
        <is>
          <t>Gurugram</t>
        </is>
      </c>
      <c r="D29" s="73" t="n">
        <v>0.9288999999999999</v>
      </c>
      <c r="O29" s="16" t="inlineStr">
        <is>
          <t>origin_zone_Howrah</t>
        </is>
      </c>
      <c r="P29" s="73" t="n">
        <v>0.003887308306420725</v>
      </c>
    </row>
    <row r="30">
      <c r="B30" s="10" t="inlineStr">
        <is>
          <t>Delhi NCR</t>
        </is>
      </c>
      <c r="C30" s="10" t="inlineStr">
        <is>
          <t>Noida</t>
        </is>
      </c>
      <c r="D30" s="72" t="n">
        <v>0.9097</v>
      </c>
    </row>
    <row r="31">
      <c r="B31" s="16" t="inlineStr">
        <is>
          <t>Delhi NCR</t>
        </is>
      </c>
      <c r="C31" s="16" t="inlineStr">
        <is>
          <t>South Delhi</t>
        </is>
      </c>
      <c r="D31" s="73" t="n">
        <v>0.9295</v>
      </c>
    </row>
    <row r="32">
      <c r="B32" s="10" t="inlineStr">
        <is>
          <t>Delhi NCR</t>
        </is>
      </c>
      <c r="C32" s="10" t="inlineStr">
        <is>
          <t>West Delhi</t>
        </is>
      </c>
      <c r="D32" s="72" t="n">
        <v>0.9429</v>
      </c>
    </row>
    <row r="33">
      <c r="B33" s="16" t="inlineStr">
        <is>
          <t>Kolkata</t>
        </is>
      </c>
      <c r="C33" s="16" t="inlineStr">
        <is>
          <t>Central Kolkata</t>
        </is>
      </c>
      <c r="D33" s="73" t="n">
        <v>1.0766</v>
      </c>
    </row>
    <row r="34">
      <c r="B34" s="10" t="inlineStr">
        <is>
          <t>Kolkata</t>
        </is>
      </c>
      <c r="C34" s="10" t="inlineStr">
        <is>
          <t>East Kolkata</t>
        </is>
      </c>
      <c r="D34" s="72" t="n">
        <v>1.039</v>
      </c>
    </row>
    <row r="35">
      <c r="B35" s="16" t="inlineStr">
        <is>
          <t>Kolkata</t>
        </is>
      </c>
      <c r="C35" s="16" t="inlineStr">
        <is>
          <t>Howrah</t>
        </is>
      </c>
      <c r="D35" s="73" t="n">
        <v>1.1016</v>
      </c>
    </row>
    <row r="36">
      <c r="B36" s="10" t="inlineStr">
        <is>
          <t>Kolkata</t>
        </is>
      </c>
      <c r="C36" s="10" t="inlineStr">
        <is>
          <t>North Kolkata</t>
        </is>
      </c>
      <c r="D36" s="72" t="n">
        <v>1.0519</v>
      </c>
    </row>
    <row r="37">
      <c r="B37" s="16" t="inlineStr">
        <is>
          <t>Kolkata</t>
        </is>
      </c>
      <c r="C37" s="16" t="inlineStr">
        <is>
          <t>South Kolkata</t>
        </is>
      </c>
      <c r="D37" s="73" t="n">
        <v>1.058</v>
      </c>
    </row>
    <row r="38">
      <c r="B38" s="10" t="inlineStr">
        <is>
          <t>Mumbai MMR</t>
        </is>
      </c>
      <c r="C38" s="10" t="inlineStr">
        <is>
          <t>Andheri</t>
        </is>
      </c>
      <c r="D38" s="72" t="n">
        <v>0.9919</v>
      </c>
    </row>
    <row r="39">
      <c r="B39" s="16" t="inlineStr">
        <is>
          <t>Mumbai MMR</t>
        </is>
      </c>
      <c r="C39" s="16" t="inlineStr">
        <is>
          <t>Bandra</t>
        </is>
      </c>
      <c r="D39" s="73" t="n">
        <v>0.9907</v>
      </c>
    </row>
    <row r="40">
      <c r="B40" s="10" t="inlineStr">
        <is>
          <t>Mumbai MMR</t>
        </is>
      </c>
      <c r="C40" s="10" t="inlineStr">
        <is>
          <t>Navi Mumbai</t>
        </is>
      </c>
      <c r="D40" s="72" t="n">
        <v>0.9644</v>
      </c>
    </row>
    <row r="41">
      <c r="B41" s="16" t="inlineStr">
        <is>
          <t>Mumbai MMR</t>
        </is>
      </c>
      <c r="C41" s="16" t="inlineStr">
        <is>
          <t>South Mumbai</t>
        </is>
      </c>
      <c r="D41" s="73" t="n">
        <v>1.0184</v>
      </c>
    </row>
    <row r="42">
      <c r="B42" s="10" t="inlineStr">
        <is>
          <t>Mumbai MMR</t>
        </is>
      </c>
      <c r="C42" s="10" t="inlineStr">
        <is>
          <t>Thane</t>
        </is>
      </c>
      <c r="D42" s="72" t="n">
        <v>0.9799</v>
      </c>
    </row>
    <row r="45">
      <c r="B45" s="7" t="inlineStr">
        <is>
          <t>Demand validation: all-city daily orders (unseen 21 days)</t>
        </is>
      </c>
      <c r="C45" s="8" t="n"/>
      <c r="D45" s="8" t="n"/>
      <c r="E45" s="8" t="n"/>
      <c r="F45" s="8" t="n"/>
    </row>
    <row r="46" ht="30" customHeight="1">
      <c r="B46" s="9" t="inlineStr">
        <is>
          <t>Date</t>
        </is>
      </c>
      <c r="C46" s="9" t="inlineStr">
        <is>
          <t>Actual</t>
        </is>
      </c>
      <c r="D46" s="9" t="inlineStr">
        <is>
          <t>Gradient boosting</t>
        </is>
      </c>
      <c r="E46" s="9" t="inlineStr">
        <is>
          <t>Seasonal naive</t>
        </is>
      </c>
    </row>
    <row r="47">
      <c r="B47" s="14" t="n">
        <v>45970</v>
      </c>
      <c r="C47" s="13" t="n">
        <v>659</v>
      </c>
      <c r="D47" s="12" t="n">
        <v>644.74</v>
      </c>
      <c r="E47" s="12" t="n">
        <v>676</v>
      </c>
    </row>
    <row r="48">
      <c r="B48" s="20" t="n">
        <v>45971</v>
      </c>
      <c r="C48" s="19" t="n">
        <v>1160</v>
      </c>
      <c r="D48" s="18" t="n">
        <v>1072.25</v>
      </c>
      <c r="E48" s="18" t="n">
        <v>1146</v>
      </c>
    </row>
    <row r="49">
      <c r="B49" s="14" t="n">
        <v>45972</v>
      </c>
      <c r="C49" s="13" t="n">
        <v>1230</v>
      </c>
      <c r="D49" s="12" t="n">
        <v>1057.13</v>
      </c>
      <c r="E49" s="12" t="n">
        <v>1150</v>
      </c>
    </row>
    <row r="50">
      <c r="B50" s="20" t="n">
        <v>45973</v>
      </c>
      <c r="C50" s="19" t="n">
        <v>1078</v>
      </c>
      <c r="D50" s="18" t="n">
        <v>1030.47</v>
      </c>
      <c r="E50" s="18" t="n">
        <v>1097</v>
      </c>
    </row>
    <row r="51">
      <c r="B51" s="14" t="n">
        <v>45974</v>
      </c>
      <c r="C51" s="13" t="n">
        <v>1127</v>
      </c>
      <c r="D51" s="12" t="n">
        <v>1029.52</v>
      </c>
      <c r="E51" s="12" t="n">
        <v>1216</v>
      </c>
    </row>
    <row r="52">
      <c r="B52" s="20" t="n">
        <v>45975</v>
      </c>
      <c r="C52" s="19" t="n">
        <v>1125</v>
      </c>
      <c r="D52" s="18" t="n">
        <v>1022.42</v>
      </c>
      <c r="E52" s="18" t="n">
        <v>1096</v>
      </c>
    </row>
    <row r="53">
      <c r="B53" s="14" t="n">
        <v>45976</v>
      </c>
      <c r="C53" s="13" t="n">
        <v>899</v>
      </c>
      <c r="D53" s="12" t="n">
        <v>893.36</v>
      </c>
      <c r="E53" s="12" t="n">
        <v>891</v>
      </c>
    </row>
    <row r="54">
      <c r="B54" s="20" t="n">
        <v>45977</v>
      </c>
      <c r="C54" s="19" t="n">
        <v>687</v>
      </c>
      <c r="D54" s="18" t="n">
        <v>644.74</v>
      </c>
      <c r="E54" s="18" t="n">
        <v>676</v>
      </c>
    </row>
    <row r="55">
      <c r="B55" s="14" t="n">
        <v>45978</v>
      </c>
      <c r="C55" s="13" t="n">
        <v>1112</v>
      </c>
      <c r="D55" s="12" t="n">
        <v>1072.25</v>
      </c>
      <c r="E55" s="12" t="n">
        <v>1146</v>
      </c>
    </row>
    <row r="56">
      <c r="B56" s="20" t="n">
        <v>45979</v>
      </c>
      <c r="C56" s="19" t="n">
        <v>1073</v>
      </c>
      <c r="D56" s="18" t="n">
        <v>1057.13</v>
      </c>
      <c r="E56" s="18" t="n">
        <v>1150</v>
      </c>
    </row>
    <row r="57">
      <c r="B57" s="14" t="n">
        <v>45980</v>
      </c>
      <c r="C57" s="13" t="n">
        <v>1138</v>
      </c>
      <c r="D57" s="12" t="n">
        <v>1030.47</v>
      </c>
      <c r="E57" s="12" t="n">
        <v>1097</v>
      </c>
    </row>
    <row r="58">
      <c r="B58" s="20" t="n">
        <v>45981</v>
      </c>
      <c r="C58" s="19" t="n">
        <v>1065</v>
      </c>
      <c r="D58" s="18" t="n">
        <v>1029.52</v>
      </c>
      <c r="E58" s="18" t="n">
        <v>1216</v>
      </c>
    </row>
    <row r="59">
      <c r="B59" s="14" t="n">
        <v>45982</v>
      </c>
      <c r="C59" s="13" t="n">
        <v>1137</v>
      </c>
      <c r="D59" s="12" t="n">
        <v>1022.42</v>
      </c>
      <c r="E59" s="12" t="n">
        <v>1096</v>
      </c>
    </row>
    <row r="60">
      <c r="B60" s="20" t="n">
        <v>45983</v>
      </c>
      <c r="C60" s="19" t="n">
        <v>958</v>
      </c>
      <c r="D60" s="18" t="n">
        <v>893.36</v>
      </c>
      <c r="E60" s="18" t="n">
        <v>891</v>
      </c>
    </row>
    <row r="61">
      <c r="B61" s="14" t="n">
        <v>45984</v>
      </c>
      <c r="C61" s="13" t="n">
        <v>659</v>
      </c>
      <c r="D61" s="12" t="n">
        <v>644.74</v>
      </c>
      <c r="E61" s="12" t="n">
        <v>676</v>
      </c>
    </row>
    <row r="62">
      <c r="B62" s="20" t="n">
        <v>45985</v>
      </c>
      <c r="C62" s="19" t="n">
        <v>1182</v>
      </c>
      <c r="D62" s="18" t="n">
        <v>1072.25</v>
      </c>
      <c r="E62" s="18" t="n">
        <v>1146</v>
      </c>
    </row>
    <row r="63">
      <c r="B63" s="14" t="n">
        <v>45986</v>
      </c>
      <c r="C63" s="13" t="n">
        <v>1128</v>
      </c>
      <c r="D63" s="12" t="n">
        <v>1057.13</v>
      </c>
      <c r="E63" s="12" t="n">
        <v>1150</v>
      </c>
    </row>
    <row r="64">
      <c r="B64" s="20" t="n">
        <v>45987</v>
      </c>
      <c r="C64" s="19" t="n">
        <v>1086</v>
      </c>
      <c r="D64" s="18" t="n">
        <v>1030.47</v>
      </c>
      <c r="E64" s="18" t="n">
        <v>1097</v>
      </c>
    </row>
    <row r="65">
      <c r="B65" s="14" t="n">
        <v>45988</v>
      </c>
      <c r="C65" s="13" t="n">
        <v>1053</v>
      </c>
      <c r="D65" s="12" t="n">
        <v>1029.52</v>
      </c>
      <c r="E65" s="12" t="n">
        <v>1216</v>
      </c>
    </row>
    <row r="66">
      <c r="B66" s="20" t="n">
        <v>45989</v>
      </c>
      <c r="C66" s="19" t="n">
        <v>1075</v>
      </c>
      <c r="D66" s="18" t="n">
        <v>1022.42</v>
      </c>
      <c r="E66" s="18" t="n">
        <v>1096</v>
      </c>
    </row>
    <row r="67">
      <c r="B67" s="14" t="n">
        <v>45990</v>
      </c>
      <c r="C67" s="13" t="n">
        <v>1007</v>
      </c>
      <c r="D67" s="12" t="n">
        <v>893.36</v>
      </c>
      <c r="E67" s="12" t="n">
        <v>891</v>
      </c>
    </row>
    <row r="70">
      <c r="B70" s="7" t="inlineStr">
        <is>
          <t>Next 14 days: forecast orders by city (feeds workload and fleet scenario selection)</t>
        </is>
      </c>
      <c r="C70" s="8" t="n"/>
      <c r="D70" s="8" t="n"/>
      <c r="E70" s="8" t="n"/>
      <c r="F70" s="8" t="n"/>
      <c r="G70" s="8" t="n"/>
      <c r="H70" s="8" t="n"/>
    </row>
    <row r="71" ht="30" customHeight="1">
      <c r="B71" s="9" t="inlineStr">
        <is>
          <t>Date</t>
        </is>
      </c>
      <c r="C71" s="9" t="inlineStr">
        <is>
          <t>Mumbai MMR</t>
        </is>
      </c>
      <c r="D71" s="9" t="inlineStr">
        <is>
          <t>Delhi NCR</t>
        </is>
      </c>
      <c r="E71" s="9" t="inlineStr">
        <is>
          <t>Bengaluru</t>
        </is>
      </c>
      <c r="F71" s="9" t="inlineStr">
        <is>
          <t>Chennai</t>
        </is>
      </c>
      <c r="G71" s="9" t="inlineStr">
        <is>
          <t>Kolkata</t>
        </is>
      </c>
    </row>
    <row r="72">
      <c r="B72" s="14" t="n">
        <v>45991</v>
      </c>
      <c r="C72" s="12" t="n">
        <v>168.7593654480208</v>
      </c>
      <c r="D72" s="12" t="n">
        <v>173.1192763104626</v>
      </c>
      <c r="E72" s="12" t="n">
        <v>135.6128877429321</v>
      </c>
      <c r="F72" s="12" t="n">
        <v>116.1481148452603</v>
      </c>
      <c r="G72" s="12" t="n">
        <v>91.13424280880936</v>
      </c>
    </row>
    <row r="73">
      <c r="B73" s="20" t="n">
        <v>45992</v>
      </c>
      <c r="C73" s="18" t="n">
        <v>273.5313651457086</v>
      </c>
      <c r="D73" s="18" t="n">
        <v>288.0369889613611</v>
      </c>
      <c r="E73" s="18" t="n">
        <v>227.7745748854207</v>
      </c>
      <c r="F73" s="18" t="n">
        <v>187.1267398436994</v>
      </c>
      <c r="G73" s="18" t="n">
        <v>164.3498743575027</v>
      </c>
    </row>
    <row r="74">
      <c r="B74" s="14" t="n">
        <v>45993</v>
      </c>
      <c r="C74" s="12" t="n">
        <v>270.3762710216437</v>
      </c>
      <c r="D74" s="12" t="n">
        <v>284.7024538453437</v>
      </c>
      <c r="E74" s="12" t="n">
        <v>225.5107264533985</v>
      </c>
      <c r="F74" s="12" t="n">
        <v>185.6921326974586</v>
      </c>
      <c r="G74" s="12" t="n">
        <v>160.5359390250475</v>
      </c>
    </row>
    <row r="75">
      <c r="B75" s="20" t="n">
        <v>45994</v>
      </c>
      <c r="C75" s="18" t="n">
        <v>263.8207253603515</v>
      </c>
      <c r="D75" s="18" t="n">
        <v>277.9564072231344</v>
      </c>
      <c r="E75" s="18" t="n">
        <v>219.1457757203294</v>
      </c>
      <c r="F75" s="18" t="n">
        <v>182.076054742819</v>
      </c>
      <c r="G75" s="18" t="n">
        <v>154.9601992006044</v>
      </c>
    </row>
    <row r="76">
      <c r="B76" s="14" t="n">
        <v>45995</v>
      </c>
      <c r="C76" s="12" t="n">
        <v>263.2051697210429</v>
      </c>
      <c r="D76" s="12" t="n">
        <v>278.4495217246858</v>
      </c>
      <c r="E76" s="12" t="n">
        <v>219.0101794461252</v>
      </c>
      <c r="F76" s="12" t="n">
        <v>182.076054742819</v>
      </c>
      <c r="G76" s="12" t="n">
        <v>154.8594793978494</v>
      </c>
    </row>
    <row r="77">
      <c r="B77" s="20" t="n">
        <v>45996</v>
      </c>
      <c r="C77" s="18" t="n">
        <v>263.5176500935287</v>
      </c>
      <c r="D77" s="18" t="n">
        <v>279.1826958137543</v>
      </c>
      <c r="E77" s="18" t="n">
        <v>219.7125167509129</v>
      </c>
      <c r="F77" s="18" t="n">
        <v>182.076054742819</v>
      </c>
      <c r="G77" s="18" t="n">
        <v>154.1675656394074</v>
      </c>
    </row>
    <row r="78">
      <c r="B78" s="14" t="n">
        <v>45997</v>
      </c>
      <c r="C78" s="12" t="n">
        <v>233.5977614427468</v>
      </c>
      <c r="D78" s="12" t="n">
        <v>241.6069585290362</v>
      </c>
      <c r="E78" s="12" t="n">
        <v>193.3988934362618</v>
      </c>
      <c r="F78" s="12" t="n">
        <v>160.4690229425764</v>
      </c>
      <c r="G78" s="12" t="n">
        <v>135.10186444133</v>
      </c>
    </row>
    <row r="79">
      <c r="B79" s="20" t="n">
        <v>45998</v>
      </c>
      <c r="C79" s="18" t="n">
        <v>168.7593654480208</v>
      </c>
      <c r="D79" s="18" t="n">
        <v>173.1192763104626</v>
      </c>
      <c r="E79" s="18" t="n">
        <v>135.6128877429321</v>
      </c>
      <c r="F79" s="18" t="n">
        <v>116.1481148452603</v>
      </c>
      <c r="G79" s="18" t="n">
        <v>91.13424280880936</v>
      </c>
    </row>
    <row r="80">
      <c r="B80" s="14" t="n">
        <v>45999</v>
      </c>
      <c r="C80" s="12" t="n">
        <v>273.5313651457086</v>
      </c>
      <c r="D80" s="12" t="n">
        <v>288.0369889613611</v>
      </c>
      <c r="E80" s="12" t="n">
        <v>227.7745748854207</v>
      </c>
      <c r="F80" s="12" t="n">
        <v>187.1267398436994</v>
      </c>
      <c r="G80" s="12" t="n">
        <v>164.3498743575027</v>
      </c>
    </row>
    <row r="81">
      <c r="B81" s="20" t="n">
        <v>46000</v>
      </c>
      <c r="C81" s="18" t="n">
        <v>270.3762710216437</v>
      </c>
      <c r="D81" s="18" t="n">
        <v>284.7024538453437</v>
      </c>
      <c r="E81" s="18" t="n">
        <v>225.5107264533985</v>
      </c>
      <c r="F81" s="18" t="n">
        <v>185.6921326974586</v>
      </c>
      <c r="G81" s="18" t="n">
        <v>160.5359390250475</v>
      </c>
    </row>
    <row r="82">
      <c r="B82" s="14" t="n">
        <v>46001</v>
      </c>
      <c r="C82" s="12" t="n">
        <v>263.8207253603515</v>
      </c>
      <c r="D82" s="12" t="n">
        <v>277.9564072231344</v>
      </c>
      <c r="E82" s="12" t="n">
        <v>219.1457757203294</v>
      </c>
      <c r="F82" s="12" t="n">
        <v>182.076054742819</v>
      </c>
      <c r="G82" s="12" t="n">
        <v>154.9601992006044</v>
      </c>
    </row>
    <row r="83">
      <c r="B83" s="20" t="n">
        <v>46002</v>
      </c>
      <c r="C83" s="18" t="n">
        <v>263.2051697210429</v>
      </c>
      <c r="D83" s="18" t="n">
        <v>278.4495217246858</v>
      </c>
      <c r="E83" s="18" t="n">
        <v>219.0101794461252</v>
      </c>
      <c r="F83" s="18" t="n">
        <v>182.076054742819</v>
      </c>
      <c r="G83" s="18" t="n">
        <v>154.8594793978494</v>
      </c>
    </row>
    <row r="84">
      <c r="B84" s="14" t="n">
        <v>46003</v>
      </c>
      <c r="C84" s="12" t="n">
        <v>263.5176500935287</v>
      </c>
      <c r="D84" s="12" t="n">
        <v>279.1826958137543</v>
      </c>
      <c r="E84" s="12" t="n">
        <v>219.7125167509129</v>
      </c>
      <c r="F84" s="12" t="n">
        <v>182.076054742819</v>
      </c>
      <c r="G84" s="12" t="n">
        <v>154.1675656394074</v>
      </c>
    </row>
    <row r="85">
      <c r="B85" s="20" t="n">
        <v>46004</v>
      </c>
      <c r="C85" s="18" t="n">
        <v>233.5977614427468</v>
      </c>
      <c r="D85" s="18" t="n">
        <v>241.6069585290362</v>
      </c>
      <c r="E85" s="18" t="n">
        <v>193.3988934362618</v>
      </c>
      <c r="F85" s="18" t="n">
        <v>160.4690229425764</v>
      </c>
      <c r="G85" s="18" t="n">
        <v>135.10186444133</v>
      </c>
    </row>
  </sheetData>
  <mergeCells count="7">
    <mergeCell ref="B4:E4"/>
    <mergeCell ref="F4:I4"/>
    <mergeCell ref="B1:Q1"/>
    <mergeCell ref="J4:M4"/>
    <mergeCell ref="B5:E5"/>
    <mergeCell ref="F5:I5"/>
    <mergeCell ref="J5:M5"/>
  </mergeCells>
  <conditionalFormatting sqref="D18:D42">
    <cfRule type="colorScale" priority="1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P18:P29">
    <cfRule type="dataBar" priority="2">
      <dataBar showValue="1">
        <cfvo type="min"/>
        <cfvo type="max"/>
        <color rgb="000E7C86"/>
      </dataBar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3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70" customWidth="1" min="3" max="3"/>
    <col width="40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 ht="34" customHeight="1">
      <c r="A1" s="1" t="n"/>
      <c r="B1" s="2" t="inlineStr">
        <is>
          <t>KPI Definitions</t>
        </is>
      </c>
      <c r="C1" s="1" t="n"/>
      <c r="D1" s="1" t="n"/>
      <c r="E1" s="1" t="n"/>
      <c r="F1" s="1" t="n"/>
      <c r="G1" s="1" t="n"/>
      <c r="H1" s="1" t="n"/>
    </row>
    <row r="2" ht="18" customHeight="1">
      <c r="B2" s="3" t="inlineStr">
        <is>
          <t>How every reported metric is calculated</t>
        </is>
      </c>
    </row>
    <row r="4" ht="30" customHeight="1">
      <c r="B4" s="9" t="inlineStr">
        <is>
          <t>KPI</t>
        </is>
      </c>
      <c r="C4" s="9" t="inlineStr">
        <is>
          <t>Definition</t>
        </is>
      </c>
      <c r="D4" s="9" t="inlineStr">
        <is>
          <t>Formula</t>
        </is>
      </c>
      <c r="E4" s="9" t="inlineStr">
        <is>
          <t>Unit</t>
        </is>
      </c>
      <c r="F4" s="9" t="inlineStr">
        <is>
          <t>Module</t>
        </is>
      </c>
      <c r="G4" s="9" t="inlineStr">
        <is>
          <t>Target</t>
        </is>
      </c>
    </row>
    <row r="5">
      <c r="B5" s="10" t="inlineStr">
        <is>
          <t>Last-mile cost</t>
        </is>
      </c>
      <c r="C5" s="10" t="inlineStr">
        <is>
          <t>Fleet cost of all routes plus spot-outsourcing cost of unserved orders</t>
        </is>
      </c>
      <c r="D5" s="10" t="inlineStr">
        <is>
          <t>Σ(fixed + km x ₹/km + duty h x wage) + Σ outsourcing</t>
        </is>
      </c>
      <c r="E5" s="10" t="inlineStr">
        <is>
          <t>₹/day</t>
        </is>
      </c>
      <c r="F5" s="10" t="inlineStr">
        <is>
          <t>Routing</t>
        </is>
      </c>
      <c r="G5" s="10" t="inlineStr">
        <is>
          <t>15-22% reduction</t>
        </is>
      </c>
    </row>
    <row r="6">
      <c r="B6" s="16" t="inlineStr">
        <is>
          <t>Fleet operating cost</t>
        </is>
      </c>
      <c r="C6" s="16" t="inlineStr">
        <is>
          <t>Cost of the routes the fleet drives</t>
        </is>
      </c>
      <c r="D6" s="16" t="inlineStr">
        <is>
          <t>Σ(fixed + km x ₹/km + duty h x wage)</t>
        </is>
      </c>
      <c r="E6" s="16" t="inlineStr">
        <is>
          <t>₹/day</t>
        </is>
      </c>
      <c r="F6" s="16" t="inlineStr">
        <is>
          <t>Routing</t>
        </is>
      </c>
      <c r="G6" s="16" t="inlineStr">
        <is>
          <t>-</t>
        </is>
      </c>
    </row>
    <row r="7">
      <c r="B7" s="10" t="inlineStr">
        <is>
          <t>Time-window compliance</t>
        </is>
      </c>
      <c r="C7" s="10" t="inlineStr">
        <is>
          <t>Orders delivered inside their window / all orders (unserved = non-compliant)</t>
        </is>
      </c>
      <c r="D7" s="10" t="inlineStr">
        <is>
          <t>on-time / orders</t>
        </is>
      </c>
      <c r="E7" s="10" t="inlineStr">
        <is>
          <t>%</t>
        </is>
      </c>
      <c r="F7" s="10" t="inlineStr">
        <is>
          <t>Routing, Fleet</t>
        </is>
      </c>
      <c r="G7" s="10" t="inlineStr">
        <is>
          <t>&gt; 95%</t>
        </is>
      </c>
    </row>
    <row r="8">
      <c r="B8" s="16" t="inlineStr">
        <is>
          <t>Straight-line km</t>
        </is>
      </c>
      <c r="C8" s="16" t="inlineStr">
        <is>
          <t>Great-circle (Haversine) distance between stops</t>
        </is>
      </c>
      <c r="D8" s="16" t="inlineStr">
        <is>
          <t>Haversine</t>
        </is>
      </c>
      <c r="E8" s="16" t="inlineStr">
        <is>
          <t>km</t>
        </is>
      </c>
      <c r="F8" s="16" t="inlineStr">
        <is>
          <t>Routing</t>
        </is>
      </c>
      <c r="G8" s="16" t="inlineStr">
        <is>
          <t>-</t>
        </is>
      </c>
    </row>
    <row r="9">
      <c r="B9" s="10" t="inlineStr">
        <is>
          <t>Road km (estimate)</t>
        </is>
      </c>
      <c r="C9" s="10" t="inlineStr">
        <is>
          <t>Straight-line km x planning circuity 1.35 (no street routing)</t>
        </is>
      </c>
      <c r="D9" s="10" t="inlineStr">
        <is>
          <t>haversine x 1.35</t>
        </is>
      </c>
      <c r="E9" s="10" t="inlineStr">
        <is>
          <t>km</t>
        </is>
      </c>
      <c r="F9" s="10" t="inlineStr">
        <is>
          <t>Routing</t>
        </is>
      </c>
      <c r="G9" s="10" t="inlineStr">
        <is>
          <t>-</t>
        </is>
      </c>
    </row>
    <row r="10">
      <c r="B10" s="16" t="inlineStr">
        <is>
          <t>Duty overrun</t>
        </is>
      </c>
      <c r="C10" s="16" t="inlineStr">
        <is>
          <t>Route duration replayed with departure-time traffic exceeds the duty limit</t>
        </is>
      </c>
      <c r="D10" s="16" t="inlineStr">
        <is>
          <t>duration &gt; limit</t>
        </is>
      </c>
      <c r="E10" s="16" t="inlineStr">
        <is>
          <t>count</t>
        </is>
      </c>
      <c r="F10" s="16" t="inlineStr">
        <is>
          <t>Routing</t>
        </is>
      </c>
      <c r="G10" s="16" t="inlineStr">
        <is>
          <t>0</t>
        </is>
      </c>
    </row>
    <row r="11">
      <c r="B11" s="10" t="inlineStr">
        <is>
          <t>Recommended fleet</t>
        </is>
      </c>
      <c r="C11" s="10" t="inlineStr">
        <is>
          <t>Vehicles used by the cost-minimising fleet-size-and-mix solution from a candidate pool</t>
        </is>
      </c>
      <c r="D11" s="10" t="inlineStr">
        <is>
          <t>count of used vehicles</t>
        </is>
      </c>
      <c r="E11" s="10" t="inlineStr">
        <is>
          <t>vehicles</t>
        </is>
      </c>
      <c r="F11" s="10" t="inlineStr">
        <is>
          <t>Fleet</t>
        </is>
      </c>
      <c r="G11" s="10" t="inlineStr">
        <is>
          <t>min feasible</t>
        </is>
      </c>
    </row>
    <row r="12">
      <c r="B12" s="16" t="inlineStr">
        <is>
          <t>Annual TCO (own)</t>
        </is>
      </c>
      <c r="C12" s="16" t="inlineStr">
        <is>
          <t>Equivalent annual capital cost + insurance + maintenance + fuel + labour</t>
        </is>
      </c>
      <c r="D12" s="16" t="inlineStr">
        <is>
          <t>EAC(capex, residual, WACC, life) + opex</t>
        </is>
      </c>
      <c r="E12" s="16" t="inlineStr">
        <is>
          <t>₹/yr</t>
        </is>
      </c>
      <c r="F12" s="16" t="inlineStr">
        <is>
          <t>Fleet</t>
        </is>
      </c>
      <c r="G12" s="16" t="inlineStr">
        <is>
          <t>-</t>
        </is>
      </c>
    </row>
    <row r="13">
      <c r="B13" s="10" t="inlineStr">
        <is>
          <t>Picker travel</t>
        </is>
      </c>
      <c r="C13" s="10" t="inlineStr">
        <is>
          <t>Walking metres per pick line, held-out orders, return routing, batches of 3</t>
        </is>
      </c>
      <c r="D13" s="10" t="inlineStr">
        <is>
          <t>Σ tour m / lines</t>
        </is>
      </c>
      <c r="E13" s="10" t="inlineStr">
        <is>
          <t>m/line</t>
        </is>
      </c>
      <c r="F13" s="10" t="inlineStr">
        <is>
          <t>Warehouse</t>
        </is>
      </c>
      <c r="G13" s="10" t="inlineStr">
        <is>
          <t>-35%</t>
        </is>
      </c>
    </row>
    <row r="14">
      <c r="B14" s="16" t="inlineStr">
        <is>
          <t>Picks per hour</t>
        </is>
      </c>
      <c r="C14" s="16" t="inlineStr">
        <is>
          <t>Pick lines / (walking + handling + tour setup hours)</t>
        </is>
      </c>
      <c r="D14" s="16" t="inlineStr">
        <is>
          <t>lines / hours</t>
        </is>
      </c>
      <c r="E14" s="16" t="inlineStr">
        <is>
          <t>lines/h</t>
        </is>
      </c>
      <c r="F14" s="16" t="inlineStr">
        <is>
          <t>Warehouse</t>
        </is>
      </c>
      <c r="G14" s="16" t="inlineStr">
        <is>
          <t>+25-30%</t>
        </is>
      </c>
    </row>
    <row r="15">
      <c r="B15" s="10" t="inlineStr">
        <is>
          <t>Perfect-information bound</t>
        </is>
      </c>
      <c r="C15" s="10" t="inlineStr">
        <is>
          <t>Same slotting method fed each SKU's long-run demand rate</t>
        </is>
      </c>
      <c r="D15" s="10" t="inlineStr">
        <is>
          <t>upper bound</t>
        </is>
      </c>
      <c r="E15" s="10" t="inlineStr">
        <is>
          <t>%</t>
        </is>
      </c>
      <c r="F15" s="10" t="inlineStr">
        <is>
          <t>Warehouse</t>
        </is>
      </c>
      <c r="G15" s="10" t="inlineStr">
        <is>
          <t>-</t>
        </is>
      </c>
    </row>
    <row r="16">
      <c r="B16" s="16" t="inlineStr">
        <is>
          <t>Pooled P95 cycle time</t>
        </is>
      </c>
      <c r="C16" s="16" t="inlineStr">
        <is>
          <t>95th percentile of intake-to-dispatch minutes across all simulated orders</t>
        </is>
      </c>
      <c r="D16" s="16" t="inlineStr">
        <is>
          <t>quantile 0.95</t>
        </is>
      </c>
      <c r="E16" s="16" t="inlineStr">
        <is>
          <t>min</t>
        </is>
      </c>
      <c r="F16" s="16" t="inlineStr">
        <is>
          <t>Simulation</t>
        </is>
      </c>
      <c r="G16" s="16" t="inlineStr">
        <is>
          <t>&lt;= 120</t>
        </is>
      </c>
    </row>
    <row r="17">
      <c r="B17" s="10" t="inlineStr">
        <is>
          <t>P10/P50/P90</t>
        </is>
      </c>
      <c r="C17" s="10" t="inlineStr">
        <is>
          <t>Percentiles across Monte Carlo replications</t>
        </is>
      </c>
      <c r="D17" s="10" t="inlineStr">
        <is>
          <t>quantiles</t>
        </is>
      </c>
      <c r="E17" s="10" t="inlineStr">
        <is>
          <t>-</t>
        </is>
      </c>
      <c r="F17" s="10" t="inlineStr">
        <is>
          <t>Simulation</t>
        </is>
      </c>
      <c r="G17" s="10" t="inlineStr">
        <is>
          <t>-</t>
        </is>
      </c>
    </row>
    <row r="18">
      <c r="B18" s="16" t="inlineStr">
        <is>
          <t>2-hour SLA coverage</t>
        </is>
      </c>
      <c r="C18" s="16" t="inlineStr">
        <is>
          <t>Share of parcel demand within 120 min (40 min processing + travel at 2.2x evening traffic)</t>
        </is>
      </c>
      <c r="D18" s="16" t="inlineStr">
        <is>
          <t>Σ w(i) [t(i) &lt;= 80] / Σ w</t>
        </is>
      </c>
      <c r="E18" s="16" t="inlineStr">
        <is>
          <t>%</t>
        </is>
      </c>
      <c r="F18" s="16" t="inlineStr">
        <is>
          <t>Network</t>
        </is>
      </c>
      <c r="G18" s="16" t="inlineStr">
        <is>
          <t>-</t>
        </is>
      </c>
    </row>
    <row r="19">
      <c r="B19" s="10" t="inlineStr">
        <is>
          <t>NPV (5-year)</t>
        </is>
      </c>
      <c r="C19" s="10" t="inlineStr">
        <is>
          <t>-capex + Σ (saving(t) - opex - line-haul) / (1+WACC)^t, no terminal value</t>
        </is>
      </c>
      <c r="D19" s="10" t="inlineStr">
        <is>
          <t>NPV</t>
        </is>
      </c>
      <c r="E19" s="10" t="inlineStr">
        <is>
          <t>₹</t>
        </is>
      </c>
      <c r="F19" s="10" t="inlineStr">
        <is>
          <t>Network</t>
        </is>
      </c>
      <c r="G19" s="10" t="inlineStr">
        <is>
          <t>quantified</t>
        </is>
      </c>
    </row>
    <row r="20">
      <c r="B20" s="16" t="inlineStr">
        <is>
          <t>Break-even volume</t>
        </is>
      </c>
      <c r="C20" s="16" t="inlineStr">
        <is>
          <t>Multiple of today's parcel volume at which NPV = 0 with the same sites</t>
        </is>
      </c>
      <c r="D20" s="16" t="inlineStr">
        <is>
          <t>PV(costs)/PV(savings)</t>
        </is>
      </c>
      <c r="E20" s="16" t="inlineStr">
        <is>
          <t>x</t>
        </is>
      </c>
      <c r="F20" s="16" t="inlineStr">
        <is>
          <t>Network</t>
        </is>
      </c>
      <c r="G20" s="16" t="inlineStr">
        <is>
          <t>-</t>
        </is>
      </c>
    </row>
    <row r="21">
      <c r="B21" s="10" t="inlineStr">
        <is>
          <t>Travel-time MAE</t>
        </is>
      </c>
      <c r="C21" s="10" t="inlineStr">
        <is>
          <t>Mean absolute error of leg minutes on the unseen validation window</t>
        </is>
      </c>
      <c r="D21" s="10" t="inlineStr">
        <is>
          <t>mean |pred - actual|</t>
        </is>
      </c>
      <c r="E21" s="10" t="inlineStr">
        <is>
          <t>min</t>
        </is>
      </c>
      <c r="F21" s="10" t="inlineStr">
        <is>
          <t>ML</t>
        </is>
      </c>
      <c r="G21" s="10" t="inlineStr">
        <is>
          <t>beat formula</t>
        </is>
      </c>
    </row>
    <row r="22">
      <c r="B22" s="16" t="inlineStr">
        <is>
          <t>Logistics health score</t>
        </is>
      </c>
      <c r="C22" s="16" t="inlineStr">
        <is>
          <t>Delivery 30 (90%-&gt;99%, less duty overruns), cost 20 (/22%), throughput 15 (/30%), DC readiness 20 (optimized + Diwali-today), fleet scalability 15 (current fleet)</t>
        </is>
      </c>
      <c r="D22" s="16" t="inlineStr">
        <is>
          <t>Σ weight x scaled component</t>
        </is>
      </c>
      <c r="E22" s="16" t="inlineStr">
        <is>
          <t>0-100</t>
        </is>
      </c>
      <c r="F22" s="16" t="inlineStr">
        <is>
          <t>Command Center</t>
        </is>
      </c>
      <c r="G22" s="16" t="inlineStr">
        <is>
          <t>-</t>
        </is>
      </c>
    </row>
  </sheetData>
  <mergeCells count="1">
    <mergeCell ref="B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0E7C86"/>
    <outlinePr summaryBelow="1" summaryRight="1"/>
    <pageSetUpPr fitToPage="1"/>
  </sheetPr>
  <dimension ref="A1:L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8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n"/>
      <c r="B1" s="2" t="inlineStr">
        <is>
          <t>Scenario Comparison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8" customHeight="1">
      <c r="B2" s="3" t="inlineStr">
        <is>
          <t>Business targets vs measured results (live links) · cross-module view by city</t>
        </is>
      </c>
    </row>
    <row r="4">
      <c r="B4" s="36" t="inlineStr">
        <is>
          <t>Target</t>
        </is>
      </c>
      <c r="C4" s="36" t="inlineStr">
        <is>
          <t>Low</t>
        </is>
      </c>
      <c r="D4" s="36" t="inlineStr">
        <is>
          <t>High</t>
        </is>
      </c>
      <c r="E4" s="36" t="inlineStr">
        <is>
          <t>Actual</t>
        </is>
      </c>
      <c r="F4" s="36" t="inlineStr">
        <is>
          <t>Status</t>
        </is>
      </c>
      <c r="G4" s="36" t="inlineStr">
        <is>
          <t>Explanation</t>
        </is>
      </c>
    </row>
    <row r="5">
      <c r="B5" s="23" t="inlineStr">
        <is>
          <t>Last-mile cost reduction (incl. outsourcing)</t>
        </is>
      </c>
      <c r="C5" s="74" t="n">
        <v>0.15</v>
      </c>
      <c r="D5" s="74" t="n">
        <v>0.22</v>
      </c>
      <c r="E5" s="62">
        <f>'Routing Analysis'!F14</f>
        <v/>
      </c>
      <c r="F5" s="37">
        <f>IF(E5&gt;=C5,IF(E5&gt;D5,"Exceeds","Met"),"Below target")</f>
        <v/>
      </c>
      <c r="G5" s="75" t="inlineStr">
        <is>
          <t>Measured on the representative day against a window-aware manual baseline, same evaluator.</t>
        </is>
      </c>
    </row>
    <row r="6">
      <c r="B6" s="23" t="inlineStr">
        <is>
          <t>Fleet operating cost reduction</t>
        </is>
      </c>
      <c r="C6" s="74" t="n">
        <v>0.15</v>
      </c>
      <c r="D6" s="74" t="n">
        <v>0.22</v>
      </c>
      <c r="E6" s="62">
        <f>'Routing Analysis'!I14</f>
        <v/>
      </c>
      <c r="F6" s="37">
        <f>IF(E6&gt;=C6,IF(E6&gt;D6,"Exceeds","Met"),"Below target")</f>
        <v/>
      </c>
      <c r="G6" s="75" t="inlineStr">
        <is>
          <t>Routes only, excludes outsourcing.</t>
        </is>
      </c>
    </row>
    <row r="7">
      <c r="B7" s="23" t="inlineStr">
        <is>
          <t>Delivery time-window compliance</t>
        </is>
      </c>
      <c r="C7" s="74" t="n">
        <v>0.95</v>
      </c>
      <c r="D7" s="74" t="n">
        <v>1</v>
      </c>
      <c r="E7" s="62">
        <f>'Routing Analysis'!K14</f>
        <v/>
      </c>
      <c r="F7" s="37">
        <f>IF(E7&gt;=C7,IF(E7&gt;D7,"Exceeds","Met"),"Below target")</f>
        <v/>
      </c>
      <c r="G7" s="75" t="inlineStr">
        <is>
          <t>Unserved orders counted as non-compliant.</t>
        </is>
      </c>
    </row>
    <row r="8">
      <c r="B8" s="23" t="inlineStr">
        <is>
          <t>Warehouse throughput gain</t>
        </is>
      </c>
      <c r="C8" s="74" t="n">
        <v>0.25</v>
      </c>
      <c r="D8" s="74" t="n">
        <v>0.3</v>
      </c>
      <c r="E8" s="62">
        <f>'Warehouse Performance'!K11</f>
        <v/>
      </c>
      <c r="F8" s="37">
        <f>IF(E8&gt;=C8,IF(E8&gt;D8,"Exceeds","Met"),"Below target")</f>
        <v/>
      </c>
      <c r="G8" s="75" t="inlineStr">
        <is>
          <t>Within ~1-2 pts of the perfect-information bound; picking policy limits further gains.</t>
        </is>
      </c>
    </row>
    <row r="9">
      <c r="B9" s="23" t="inlineStr">
        <is>
          <t>Picker travel reduction</t>
        </is>
      </c>
      <c r="C9" s="74" t="n">
        <v>0.35</v>
      </c>
      <c r="D9" s="74" t="n">
        <v>0.35</v>
      </c>
      <c r="E9" s="62">
        <f>'Warehouse Performance'!G11</f>
        <v/>
      </c>
      <c r="F9" s="37">
        <f>IF(E9&gt;=C9,IF(E9&gt;D9,"Exceeds","Met"),"Below target")</f>
        <v/>
      </c>
      <c r="G9" s="75" t="inlineStr">
        <is>
          <t>Bound ~27%: target not reachable with return routing.</t>
        </is>
      </c>
    </row>
    <row r="10">
      <c r="B10" s="23" t="inlineStr">
        <is>
          <t>Five-year facility NPV (sum of best configs)</t>
        </is>
      </c>
      <c r="E10" s="76">
        <f>'Facility Economics'!N13</f>
        <v/>
      </c>
      <c r="F10" s="37" t="inlineStr">
        <is>
          <t>Quantified</t>
        </is>
      </c>
      <c r="G10" s="75" t="inlineStr">
        <is>
          <t>Negative at today's volumes in every city; break-even volumes on Network Design.</t>
        </is>
      </c>
    </row>
    <row r="13">
      <c r="B13" s="7" t="inlineStr">
        <is>
          <t>City scorecard across modules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30" customHeight="1">
      <c r="B14" s="9" t="inlineStr">
        <is>
          <t>City</t>
        </is>
      </c>
      <c r="C14" s="9" t="inlineStr">
        <is>
          <t>Last-mile cost reduction</t>
        </is>
      </c>
      <c r="D14" s="9" t="inlineStr">
        <is>
          <t>Optimized compliance</t>
        </is>
      </c>
      <c r="E14" s="9" t="inlineStr">
        <is>
          <t>Fleet at 1.0x</t>
        </is>
      </c>
      <c r="F14" s="9" t="inlineStr">
        <is>
          <t>Pick travel reduction</t>
        </is>
      </c>
      <c r="G14" s="9" t="inlineStr">
        <is>
          <t>Throughput gain</t>
        </is>
      </c>
      <c r="H14" s="9" t="inlineStr">
        <is>
          <t>P95 now (min)</t>
        </is>
      </c>
      <c r="I14" s="9" t="inlineStr">
        <is>
          <t>P95 optimized (min)</t>
        </is>
      </c>
      <c r="J14" s="9" t="inlineStr">
        <is>
          <t>Diwali P95 current roster</t>
        </is>
      </c>
      <c r="K14" s="9" t="inlineStr">
        <is>
          <t>MFC break-even x</t>
        </is>
      </c>
      <c r="L14" s="9" t="inlineStr">
        <is>
          <t>2h SLA today</t>
        </is>
      </c>
    </row>
    <row r="15">
      <c r="B15" s="10" t="inlineStr">
        <is>
          <t>Mumbai MMR</t>
        </is>
      </c>
      <c r="C15" s="15" t="n">
        <v>0.2027027027027027</v>
      </c>
      <c r="D15" s="15" t="n">
        <v>0.9929</v>
      </c>
      <c r="E15" s="13" t="n">
        <v>20</v>
      </c>
      <c r="F15" s="15" t="n">
        <v>0.2688</v>
      </c>
      <c r="G15" s="15" t="n">
        <v>0.2384</v>
      </c>
      <c r="H15" s="12" t="n">
        <v>171.3112324433142</v>
      </c>
      <c r="I15" s="12" t="n">
        <v>98.1918234652729</v>
      </c>
      <c r="J15" s="12" t="n">
        <v>457.9140729407815</v>
      </c>
      <c r="K15" s="52" t="n">
        <v>6.16</v>
      </c>
      <c r="L15" s="15" t="n">
        <v>0.7603</v>
      </c>
    </row>
    <row r="16">
      <c r="B16" s="16" t="inlineStr">
        <is>
          <t>Delhi NCR</t>
        </is>
      </c>
      <c r="C16" s="21" t="n">
        <v>0.2408218228781126</v>
      </c>
      <c r="D16" s="21" t="n">
        <v>0.9661999999999999</v>
      </c>
      <c r="E16" s="19" t="n">
        <v>21</v>
      </c>
      <c r="F16" s="21" t="n">
        <v>0.2745</v>
      </c>
      <c r="G16" s="21" t="n">
        <v>0.2444</v>
      </c>
      <c r="H16" s="18" t="n">
        <v>145.5924636644952</v>
      </c>
      <c r="I16" s="18" t="n">
        <v>88.35081947502493</v>
      </c>
      <c r="J16" s="18" t="n">
        <v>432.5108267210148</v>
      </c>
      <c r="K16" s="53" t="n">
        <v>2.84</v>
      </c>
      <c r="L16" s="21" t="n">
        <v>0.4189</v>
      </c>
    </row>
    <row r="17">
      <c r="B17" s="10" t="inlineStr">
        <is>
          <t>Bengaluru</t>
        </is>
      </c>
      <c r="C17" s="15" t="n">
        <v>0.2632330488461243</v>
      </c>
      <c r="D17" s="15" t="n">
        <v>0.9813</v>
      </c>
      <c r="E17" s="13" t="n">
        <v>18</v>
      </c>
      <c r="F17" s="15" t="n">
        <v>0.2568</v>
      </c>
      <c r="G17" s="15" t="n">
        <v>0.229</v>
      </c>
      <c r="H17" s="12" t="n">
        <v>100.6771167762689</v>
      </c>
      <c r="I17" s="12" t="n">
        <v>102.437516612726</v>
      </c>
      <c r="J17" s="12" t="n">
        <v>351.14754237306</v>
      </c>
      <c r="K17" s="52" t="n">
        <v>8.460000000000001</v>
      </c>
      <c r="L17" s="15" t="n">
        <v>0.9327</v>
      </c>
    </row>
    <row r="18">
      <c r="B18" s="16" t="inlineStr">
        <is>
          <t>Chennai</t>
        </is>
      </c>
      <c r="C18" s="21" t="n">
        <v>0.3454386230458192</v>
      </c>
      <c r="D18" s="21" t="n">
        <v>0.995</v>
      </c>
      <c r="E18" s="19" t="n">
        <v>16</v>
      </c>
      <c r="F18" s="21" t="n">
        <v>0.255</v>
      </c>
      <c r="G18" s="21" t="n">
        <v>0.2243</v>
      </c>
      <c r="H18" s="18" t="n">
        <v>306.8223898564777</v>
      </c>
      <c r="I18" s="18" t="n">
        <v>88.99440888104228</v>
      </c>
      <c r="J18" s="18" t="n">
        <v>543.3195712930814</v>
      </c>
      <c r="K18" s="53" t="n">
        <v>11.39</v>
      </c>
      <c r="L18" s="21" t="n">
        <v>0.8994</v>
      </c>
    </row>
    <row r="19">
      <c r="B19" s="10" t="inlineStr">
        <is>
          <t>Kolkata</t>
        </is>
      </c>
      <c r="C19" s="15" t="n">
        <v>0.4527006948080433</v>
      </c>
      <c r="D19" s="15" t="n">
        <v>0.9862</v>
      </c>
      <c r="E19" s="13" t="n">
        <v>12</v>
      </c>
      <c r="F19" s="15" t="n">
        <v>0.244</v>
      </c>
      <c r="G19" s="15" t="n">
        <v>0.2213</v>
      </c>
      <c r="H19" s="12" t="n">
        <v>164.1040149144674</v>
      </c>
      <c r="I19" s="12" t="n">
        <v>106.231004987432</v>
      </c>
      <c r="J19" s="12" t="n">
        <v>518.9771253790771</v>
      </c>
      <c r="K19" s="52" t="n">
        <v>6.32</v>
      </c>
      <c r="L19" s="15" t="n">
        <v>0.9811</v>
      </c>
    </row>
  </sheetData>
  <mergeCells count="1">
    <mergeCell ref="B1:L1"/>
  </mergeCells>
  <conditionalFormatting sqref="F5:F10">
    <cfRule type="expression" priority="1" dxfId="1">
      <formula>F5="Exceeds"</formula>
    </cfRule>
    <cfRule type="expression" priority="2" dxfId="2">
      <formula>F5="Met"</formula>
    </cfRule>
    <cfRule type="expression" priority="3" dxfId="0">
      <formula>F5="Below target"</formula>
    </cfRule>
    <cfRule type="expression" priority="4" dxfId="3">
      <formula>F5="Quantified"</formula>
    </cfRule>
  </conditionalFormatting>
  <conditionalFormatting sqref="C15:C19">
    <cfRule type="colorScale" priority="5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D15:D19">
    <cfRule type="colorScale" priority="6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F15:F19">
    <cfRule type="colorScale" priority="7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G15:G19">
    <cfRule type="colorScale" priority="8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L15:L19">
    <cfRule type="colorScale" priority="9">
      <colorScale>
        <cfvo type="min"/>
        <cfvo type="percentile" val="50"/>
        <cfvo type="max"/>
        <color rgb="00F8D9D6"/>
        <color rgb="00FFF6DD"/>
        <color rgb="00D7EEE0"/>
      </colorScale>
    </cfRule>
  </conditionalFormatting>
  <conditionalFormatting sqref="H15:H19">
    <cfRule type="colorScale" priority="10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I15:I19">
    <cfRule type="colorScale" priority="11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J15:J19">
    <cfRule type="colorScale" priority="12">
      <colorScale>
        <cfvo type="min"/>
        <cfvo type="percentile" val="50"/>
        <cfvo type="max"/>
        <color rgb="00D7EEE0"/>
        <color rgb="00FFF6DD"/>
        <color rgb="00F8D9D6"/>
      </colorScale>
    </cfRule>
  </conditionalFormatting>
  <conditionalFormatting sqref="K15:K19">
    <cfRule type="colorScale" priority="13">
      <colorScale>
        <cfvo type="min"/>
        <cfvo type="percentile" val="50"/>
        <cfvo type="max"/>
        <color rgb="00D7EEE0"/>
        <color rgb="00FFF6DD"/>
        <color rgb="00F8D9D6"/>
      </colorScale>
    </cfRule>
  </conditionalFormatting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E3A21A"/>
    <outlinePr summaryBelow="1" summaryRight="1"/>
    <pageSetUpPr fitToPage="1"/>
  </sheetPr>
  <dimension ref="A1:Q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4" customHeight="1">
      <c r="A1" s="1" t="n"/>
      <c r="B1" s="2" t="inlineStr">
        <is>
          <t>Executive 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18" customHeight="1">
      <c r="B2" s="3" t="inlineStr">
        <is>
          <t>Logistics and Network Design · Command Center · Mumbai, Delhi NCR, Bengaluru, Chennai, Kolkata</t>
        </is>
      </c>
    </row>
    <row r="4" ht="30" customHeight="1">
      <c r="B4" s="77" t="n">
        <v>75.8</v>
      </c>
      <c r="C4" s="5" t="n"/>
      <c r="D4" s="41">
        <f>'Routing Analysis'!F14</f>
        <v/>
      </c>
      <c r="E4" s="5" t="n"/>
      <c r="F4" s="42">
        <f>'Routing Analysis'!K14</f>
        <v/>
      </c>
      <c r="G4" s="5" t="n"/>
      <c r="H4" s="4">
        <f>'Routing Analysis'!L14-'Routing Analysis'!M14</f>
        <v/>
      </c>
      <c r="I4" s="5" t="n"/>
      <c r="J4" s="41">
        <f>'Warehouse Performance'!G11</f>
        <v/>
      </c>
      <c r="K4" s="5" t="n"/>
      <c r="L4" s="42">
        <f>'Warehouse Performance'!K11</f>
        <v/>
      </c>
      <c r="M4" s="5" t="n"/>
      <c r="N4" s="78">
        <f>'Facility Economics'!N13/10^7</f>
        <v/>
      </c>
      <c r="O4" s="5" t="n"/>
      <c r="P4" s="79" t="inlineStr">
        <is>
          <t>Delhi NCR</t>
        </is>
      </c>
      <c r="Q4" s="5" t="n"/>
    </row>
    <row r="5" ht="26" customHeight="1">
      <c r="B5" s="80" t="inlineStr">
        <is>
          <t>Logistics health score (0-100)</t>
        </is>
      </c>
      <c r="C5" s="5" t="n"/>
      <c r="D5" s="6" t="inlineStr">
        <is>
          <t>Last-mile cost reduction</t>
        </is>
      </c>
      <c r="E5" s="5" t="n"/>
      <c r="F5" s="44" t="inlineStr">
        <is>
          <t>In-window delivery</t>
        </is>
      </c>
      <c r="G5" s="5" t="n"/>
      <c r="H5" s="6" t="inlineStr">
        <is>
          <t>Vehicles saved per day</t>
        </is>
      </c>
      <c r="I5" s="5" t="n"/>
      <c r="J5" s="6" t="inlineStr">
        <is>
          <t>Picker travel reduction</t>
        </is>
      </c>
      <c r="K5" s="5" t="n"/>
      <c r="L5" s="44" t="inlineStr">
        <is>
          <t>Pick throughput gain</t>
        </is>
      </c>
      <c r="M5" s="5" t="n"/>
      <c r="N5" s="51" t="inlineStr">
        <is>
          <t>5-yr NPV, best MFC configs</t>
        </is>
      </c>
      <c r="O5" s="5" t="n"/>
      <c r="P5" s="35" t="inlineStr">
        <is>
          <t>First city for MFC investment · break-even 2.8x volume</t>
        </is>
      </c>
      <c r="Q5" s="5" t="n"/>
    </row>
    <row r="38">
      <c r="B38" s="7" t="inlineStr">
        <is>
          <t>90-day demand trend</t>
        </is>
      </c>
      <c r="C38" s="8" t="n"/>
      <c r="D38" s="8" t="n"/>
      <c r="E38" s="8" t="n"/>
      <c r="F38" s="8" t="n"/>
      <c r="G38" s="8" t="n"/>
      <c r="I38" s="7" t="inlineStr">
        <is>
          <t>Health score components</t>
        </is>
      </c>
      <c r="J38" s="8" t="n"/>
      <c r="K38" s="8" t="n"/>
      <c r="L38" s="8" t="n"/>
      <c r="M38" s="8" t="n"/>
    </row>
    <row r="39" ht="30" customHeight="1">
      <c r="B39" s="37" t="inlineStr">
        <is>
          <t>Mumbai MMR</t>
        </is>
      </c>
      <c r="I39" s="9" t="inlineStr">
        <is>
          <t>Component</t>
        </is>
      </c>
      <c r="J39" s="9" t="inlineStr">
        <is>
          <t>Score</t>
        </is>
      </c>
      <c r="K39" s="9" t="inlineStr">
        <is>
          <t>Weight</t>
        </is>
      </c>
    </row>
    <row r="40" ht="22" customHeight="1">
      <c r="B40" s="37" t="inlineStr">
        <is>
          <t>Delhi NCR</t>
        </is>
      </c>
      <c r="I40" s="10" t="inlineStr">
        <is>
          <t>Delivery compliance</t>
        </is>
      </c>
      <c r="J40" s="12" t="n">
        <v>83.7</v>
      </c>
      <c r="K40" s="15" t="n">
        <v>0.3</v>
      </c>
    </row>
    <row r="41" ht="22" customHeight="1">
      <c r="B41" s="37" t="inlineStr">
        <is>
          <t>Bengaluru</t>
        </is>
      </c>
      <c r="I41" s="16" t="inlineStr">
        <is>
          <t>Last mile cost</t>
        </is>
      </c>
      <c r="J41" s="18" t="n">
        <v>100</v>
      </c>
      <c r="K41" s="21" t="n">
        <v>0.2</v>
      </c>
    </row>
    <row r="42" ht="22" customHeight="1">
      <c r="B42" s="37" t="inlineStr">
        <is>
          <t>Chennai</t>
        </is>
      </c>
      <c r="I42" s="10" t="inlineStr">
        <is>
          <t>Warehouse throughput</t>
        </is>
      </c>
      <c r="J42" s="12" t="n">
        <v>77.8</v>
      </c>
      <c r="K42" s="15" t="n">
        <v>0.15</v>
      </c>
    </row>
    <row r="43" ht="22" customHeight="1">
      <c r="B43" s="37" t="inlineStr">
        <is>
          <t>Kolkata</t>
        </is>
      </c>
      <c r="I43" s="16" t="inlineStr">
        <is>
          <t>Dc readiness</t>
        </is>
      </c>
      <c r="J43" s="18" t="n">
        <v>50</v>
      </c>
      <c r="K43" s="21" t="n">
        <v>0.2</v>
      </c>
    </row>
    <row r="44" ht="22" customHeight="1">
      <c r="B44" s="37" t="inlineStr">
        <is>
          <t>All cities</t>
        </is>
      </c>
      <c r="I44" s="10" t="inlineStr">
        <is>
          <t>Fleet scalability</t>
        </is>
      </c>
      <c r="J44" s="12" t="n">
        <v>60</v>
      </c>
      <c r="K44" s="15" t="n">
        <v>0.15</v>
      </c>
    </row>
    <row r="47">
      <c r="B47" s="7" t="inlineStr">
        <is>
          <t>Top alerts (ranked by severity and impact)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 ht="30" customHeight="1">
      <c r="B48" s="9" t="inlineStr">
        <is>
          <t>Severity</t>
        </is>
      </c>
      <c r="C48" s="9" t="inlineStr">
        <is>
          <t>Area</t>
        </is>
      </c>
      <c r="D48" s="9" t="inlineStr">
        <is>
          <t>City</t>
        </is>
      </c>
      <c r="E48" s="9" t="inlineStr">
        <is>
          <t>Alert</t>
        </is>
      </c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2" t="n"/>
    </row>
    <row r="49">
      <c r="B49" s="10" t="inlineStr">
        <is>
          <t>high</t>
        </is>
      </c>
      <c r="C49" s="10" t="inlineStr">
        <is>
          <t>DC operations</t>
        </is>
      </c>
      <c r="D49" s="10" t="inlineStr">
        <is>
          <t>Mumbai MMR</t>
        </is>
      </c>
      <c r="E49" s="10" t="inlineStr">
        <is>
          <t>Diwali volume at current roster: P95 cycle 458 min, backlog P50 176 orders</t>
        </is>
      </c>
      <c r="F49" s="81" t="n"/>
      <c r="G49" s="81" t="n"/>
      <c r="H49" s="81" t="n"/>
      <c r="I49" s="81" t="n"/>
      <c r="J49" s="81" t="n"/>
      <c r="K49" s="81" t="n"/>
      <c r="L49" s="81" t="n"/>
      <c r="M49" s="81" t="n"/>
      <c r="N49" s="81" t="n"/>
      <c r="O49" s="81" t="n"/>
      <c r="P49" s="81" t="n"/>
      <c r="Q49" s="82" t="n"/>
    </row>
    <row r="50">
      <c r="B50" s="16" t="inlineStr">
        <is>
          <t>high</t>
        </is>
      </c>
      <c r="C50" s="16" t="inlineStr">
        <is>
          <t>DC operations</t>
        </is>
      </c>
      <c r="D50" s="16" t="inlineStr">
        <is>
          <t>Chennai</t>
        </is>
      </c>
      <c r="E50" s="16" t="inlineStr">
        <is>
          <t>Diwali volume at current roster: P95 cycle 543 min, backlog P50 167 orders</t>
        </is>
      </c>
      <c r="F50" s="81" t="n"/>
      <c r="G50" s="81" t="n"/>
      <c r="H50" s="81" t="n"/>
      <c r="I50" s="81" t="n"/>
      <c r="J50" s="81" t="n"/>
      <c r="K50" s="81" t="n"/>
      <c r="L50" s="81" t="n"/>
      <c r="M50" s="81" t="n"/>
      <c r="N50" s="81" t="n"/>
      <c r="O50" s="81" t="n"/>
      <c r="P50" s="81" t="n"/>
      <c r="Q50" s="82" t="n"/>
    </row>
    <row r="51">
      <c r="B51" s="10" t="inlineStr">
        <is>
          <t>high</t>
        </is>
      </c>
      <c r="C51" s="10" t="inlineStr">
        <is>
          <t>DC operations</t>
        </is>
      </c>
      <c r="D51" s="10" t="inlineStr">
        <is>
          <t>Kolkata</t>
        </is>
      </c>
      <c r="E51" s="10" t="inlineStr">
        <is>
          <t>Diwali volume at current roster: P95 cycle 519 min, backlog P50 143 orders</t>
        </is>
      </c>
      <c r="F51" s="81" t="n"/>
      <c r="G51" s="81" t="n"/>
      <c r="H51" s="81" t="n"/>
      <c r="I51" s="81" t="n"/>
      <c r="J51" s="81" t="n"/>
      <c r="K51" s="81" t="n"/>
      <c r="L51" s="81" t="n"/>
      <c r="M51" s="81" t="n"/>
      <c r="N51" s="81" t="n"/>
      <c r="O51" s="81" t="n"/>
      <c r="P51" s="81" t="n"/>
      <c r="Q51" s="82" t="n"/>
    </row>
    <row r="52">
      <c r="B52" s="16" t="inlineStr">
        <is>
          <t>high</t>
        </is>
      </c>
      <c r="C52" s="16" t="inlineStr">
        <is>
          <t>DC operations</t>
        </is>
      </c>
      <c r="D52" s="16" t="inlineStr">
        <is>
          <t>Delhi NCR</t>
        </is>
      </c>
      <c r="E52" s="16" t="inlineStr">
        <is>
          <t>Diwali volume at current roster: P95 cycle 433 min, backlog P50 142 orders</t>
        </is>
      </c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2" t="n"/>
    </row>
    <row r="53">
      <c r="B53" s="10" t="inlineStr">
        <is>
          <t>high</t>
        </is>
      </c>
      <c r="C53" s="10" t="inlineStr">
        <is>
          <t>DC operations</t>
        </is>
      </c>
      <c r="D53" s="10" t="inlineStr">
        <is>
          <t>Bengaluru</t>
        </is>
      </c>
      <c r="E53" s="10" t="inlineStr">
        <is>
          <t>Diwali volume at current roster: P95 cycle 351 min, backlog P50 54 orders</t>
        </is>
      </c>
      <c r="F53" s="81" t="n"/>
      <c r="G53" s="81" t="n"/>
      <c r="H53" s="81" t="n"/>
      <c r="I53" s="81" t="n"/>
      <c r="J53" s="81" t="n"/>
      <c r="K53" s="81" t="n"/>
      <c r="L53" s="81" t="n"/>
      <c r="M53" s="81" t="n"/>
      <c r="N53" s="81" t="n"/>
      <c r="O53" s="81" t="n"/>
      <c r="P53" s="81" t="n"/>
      <c r="Q53" s="82" t="n"/>
    </row>
    <row r="54">
      <c r="B54" s="16" t="inlineStr">
        <is>
          <t>medium</t>
        </is>
      </c>
      <c r="C54" s="16" t="inlineStr">
        <is>
          <t>Fleet</t>
        </is>
      </c>
      <c r="D54" s="16" t="inlineStr">
        <is>
          <t>Chennai</t>
        </is>
      </c>
      <c r="E54" s="16" t="inlineStr">
        <is>
          <t>Current 25-vehicle fleet falls below the compliance target from 3x demand</t>
        </is>
      </c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2" t="n"/>
    </row>
    <row r="55">
      <c r="B55" s="10" t="inlineStr">
        <is>
          <t>medium</t>
        </is>
      </c>
      <c r="C55" s="10" t="inlineStr">
        <is>
          <t>Fleet</t>
        </is>
      </c>
      <c r="D55" s="10" t="inlineStr">
        <is>
          <t>Kolkata</t>
        </is>
      </c>
      <c r="E55" s="10" t="inlineStr">
        <is>
          <t>Current 25-vehicle fleet falls below the compliance target from 3x demand</t>
        </is>
      </c>
      <c r="F55" s="81" t="n"/>
      <c r="G55" s="81" t="n"/>
      <c r="H55" s="81" t="n"/>
      <c r="I55" s="81" t="n"/>
      <c r="J55" s="81" t="n"/>
      <c r="K55" s="81" t="n"/>
      <c r="L55" s="81" t="n"/>
      <c r="M55" s="81" t="n"/>
      <c r="N55" s="81" t="n"/>
      <c r="O55" s="81" t="n"/>
      <c r="P55" s="81" t="n"/>
      <c r="Q55" s="82" t="n"/>
    </row>
    <row r="56">
      <c r="B56" s="16" t="inlineStr">
        <is>
          <t>medium</t>
        </is>
      </c>
      <c r="C56" s="16" t="inlineStr">
        <is>
          <t>Fleet</t>
        </is>
      </c>
      <c r="D56" s="16" t="inlineStr">
        <is>
          <t>Mumbai MMR</t>
        </is>
      </c>
      <c r="E56" s="16" t="inlineStr">
        <is>
          <t>Current 25-vehicle fleet falls below the compliance target from 1.5x demand</t>
        </is>
      </c>
      <c r="F56" s="81" t="n"/>
      <c r="G56" s="81" t="n"/>
      <c r="H56" s="81" t="n"/>
      <c r="I56" s="81" t="n"/>
      <c r="J56" s="81" t="n"/>
      <c r="K56" s="81" t="n"/>
      <c r="L56" s="81" t="n"/>
      <c r="M56" s="81" t="n"/>
      <c r="N56" s="81" t="n"/>
      <c r="O56" s="81" t="n"/>
      <c r="P56" s="81" t="n"/>
      <c r="Q56" s="82" t="n"/>
    </row>
    <row r="57">
      <c r="B57" s="10" t="inlineStr">
        <is>
          <t>medium</t>
        </is>
      </c>
      <c r="C57" s="10" t="inlineStr">
        <is>
          <t>Fleet</t>
        </is>
      </c>
      <c r="D57" s="10" t="inlineStr">
        <is>
          <t>Delhi NCR</t>
        </is>
      </c>
      <c r="E57" s="10" t="inlineStr">
        <is>
          <t>Current 25-vehicle fleet falls below the compliance target from 1x demand</t>
        </is>
      </c>
      <c r="F57" s="81" t="n"/>
      <c r="G57" s="81" t="n"/>
      <c r="H57" s="81" t="n"/>
      <c r="I57" s="81" t="n"/>
      <c r="J57" s="81" t="n"/>
      <c r="K57" s="81" t="n"/>
      <c r="L57" s="81" t="n"/>
      <c r="M57" s="81" t="n"/>
      <c r="N57" s="81" t="n"/>
      <c r="O57" s="81" t="n"/>
      <c r="P57" s="81" t="n"/>
      <c r="Q57" s="82" t="n"/>
    </row>
    <row r="58">
      <c r="B58" s="16" t="inlineStr">
        <is>
          <t>medium</t>
        </is>
      </c>
      <c r="C58" s="16" t="inlineStr">
        <is>
          <t>Fleet</t>
        </is>
      </c>
      <c r="D58" s="16" t="inlineStr">
        <is>
          <t>Bengaluru</t>
        </is>
      </c>
      <c r="E58" s="16" t="inlineStr">
        <is>
          <t>Current 25-vehicle fleet falls below the compliance target from 1.5x demand</t>
        </is>
      </c>
      <c r="F58" s="81" t="n"/>
      <c r="G58" s="81" t="n"/>
      <c r="H58" s="81" t="n"/>
      <c r="I58" s="81" t="n"/>
      <c r="J58" s="81" t="n"/>
      <c r="K58" s="81" t="n"/>
      <c r="L58" s="81" t="n"/>
      <c r="M58" s="81" t="n"/>
      <c r="N58" s="81" t="n"/>
      <c r="O58" s="81" t="n"/>
      <c r="P58" s="81" t="n"/>
      <c r="Q58" s="82" t="n"/>
    </row>
    <row r="59">
      <c r="B59" s="10" t="inlineStr">
        <is>
          <t>low</t>
        </is>
      </c>
      <c r="C59" s="10" t="inlineStr">
        <is>
          <t>Routing</t>
        </is>
      </c>
      <c r="D59" s="10" t="inlineStr">
        <is>
          <t>Bengaluru</t>
        </is>
      </c>
      <c r="E59" s="10" t="inlineStr">
        <is>
          <t>1 optimized route(s) exceed driver duty under replayed traffic (overtime)</t>
        </is>
      </c>
      <c r="F59" s="81" t="n"/>
      <c r="G59" s="81" t="n"/>
      <c r="H59" s="81" t="n"/>
      <c r="I59" s="81" t="n"/>
      <c r="J59" s="81" t="n"/>
      <c r="K59" s="81" t="n"/>
      <c r="L59" s="81" t="n"/>
      <c r="M59" s="81" t="n"/>
      <c r="N59" s="81" t="n"/>
      <c r="O59" s="81" t="n"/>
      <c r="P59" s="81" t="n"/>
      <c r="Q59" s="82" t="n"/>
    </row>
    <row r="60">
      <c r="B60" s="16" t="inlineStr">
        <is>
          <t>low</t>
        </is>
      </c>
      <c r="C60" s="16" t="inlineStr">
        <is>
          <t>Routing</t>
        </is>
      </c>
      <c r="D60" s="16" t="inlineStr">
        <is>
          <t>Chennai</t>
        </is>
      </c>
      <c r="E60" s="16" t="inlineStr">
        <is>
          <t>2 optimized route(s) exceed driver duty under replayed traffic (overtime)</t>
        </is>
      </c>
      <c r="F60" s="81" t="n"/>
      <c r="G60" s="81" t="n"/>
      <c r="H60" s="81" t="n"/>
      <c r="I60" s="81" t="n"/>
      <c r="J60" s="81" t="n"/>
      <c r="K60" s="81" t="n"/>
      <c r="L60" s="81" t="n"/>
      <c r="M60" s="81" t="n"/>
      <c r="N60" s="81" t="n"/>
      <c r="O60" s="81" t="n"/>
      <c r="P60" s="81" t="n"/>
      <c r="Q60" s="82" t="n"/>
    </row>
    <row r="62" ht="15" customHeight="1">
      <c r="B62" s="26" t="inlineStr">
        <is>
          <t>Portfolio links: sourcing = not run, planning = not run, process = not run, procurement = not run, inventory = not run, logistics = available. Safety-stock linkage: awaiting upstream.</t>
        </is>
      </c>
    </row>
  </sheetData>
  <mergeCells count="37">
    <mergeCell ref="F4:G4"/>
    <mergeCell ref="P4:Q4"/>
    <mergeCell ref="C39:F39"/>
    <mergeCell ref="J5:K5"/>
    <mergeCell ref="E57:Q57"/>
    <mergeCell ref="H4:I4"/>
    <mergeCell ref="E54:Q54"/>
    <mergeCell ref="E56:Q56"/>
    <mergeCell ref="E53:Q53"/>
    <mergeCell ref="F5:G5"/>
    <mergeCell ref="E50:Q50"/>
    <mergeCell ref="E58:Q58"/>
    <mergeCell ref="L5:M5"/>
    <mergeCell ref="N5:O5"/>
    <mergeCell ref="C42:F42"/>
    <mergeCell ref="B62:Q62"/>
    <mergeCell ref="E55:Q55"/>
    <mergeCell ref="J4:K4"/>
    <mergeCell ref="E52:Q52"/>
    <mergeCell ref="L4:M4"/>
    <mergeCell ref="E49:Q49"/>
    <mergeCell ref="E48:Q48"/>
    <mergeCell ref="E51:Q51"/>
    <mergeCell ref="D4:E4"/>
    <mergeCell ref="C41:F41"/>
    <mergeCell ref="C44:F44"/>
    <mergeCell ref="C40:F40"/>
    <mergeCell ref="E60:Q60"/>
    <mergeCell ref="B5:C5"/>
    <mergeCell ref="C43:F43"/>
    <mergeCell ref="B1:Q1"/>
    <mergeCell ref="D5:E5"/>
    <mergeCell ref="H5:I5"/>
    <mergeCell ref="P5:Q5"/>
    <mergeCell ref="E59:Q59"/>
    <mergeCell ref="B4:C4"/>
    <mergeCell ref="N4:O4"/>
  </mergeCells>
  <conditionalFormatting sqref="J40:J44">
    <cfRule type="dataBar" priority="1">
      <dataBar showValue="1">
        <cfvo type="min"/>
        <cfvo type="max"/>
        <color rgb="000E7C86"/>
      </dataBar>
    </cfRule>
  </conditionalFormatting>
  <conditionalFormatting sqref="B49:B60">
    <cfRule type="cellIs" priority="2" operator="equal" dxfId="0">
      <formula>"high"</formula>
    </cfRule>
    <cfRule type="cellIs" priority="3" operator="equal" dxfId="3">
      <formula>"medium"</formula>
    </cfRule>
    <cfRule type="cellIs" priority="4" operator="equal" dxfId="4">
      <formula>"low"</formula>
    </cfRule>
    <cfRule type="cellIs" priority="5" operator="equal" dxfId="5">
      <formula>"info"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ineWeight="1.25">
          <x14:colorSeries rgb="FF0E7C86"/>
          <x14:colorNegative rgb="FFC2413B"/>
          <x14:colorAxis rgb="FF000000"/>
          <x14:colorMarkers rgb="FF0E7C86"/>
          <x14:colorFirst rgb="FF6B7A90"/>
          <x14:colorLast rgb="FF1F2A44"/>
          <x14:colorHigh rgb="FFE3A21A"/>
          <x14:colorLow rgb="FF6B7A90"/>
          <x14:sparklines>
            <x14:sparkline>
              <xm:f>'Order &amp; Demand Profile'!C9:C98</xm:f>
              <xm:sqref>C39</xm:sqref>
            </x14:sparkline>
            <x14:sparkline>
              <xm:f>'Order &amp; Demand Profile'!D9:D98</xm:f>
              <xm:sqref>C40</xm:sqref>
            </x14:sparkline>
            <x14:sparkline>
              <xm:f>'Order &amp; Demand Profile'!E9:E98</xm:f>
              <xm:sqref>C41</xm:sqref>
            </x14:sparkline>
            <x14:sparkline>
              <xm:f>'Order &amp; Demand Profile'!F9:F98</xm:f>
              <xm:sqref>C42</xm:sqref>
            </x14:sparkline>
            <x14:sparkline>
              <xm:f>'Order &amp; Demand Profile'!G9:G98</xm:f>
              <xm:sqref>C43</xm:sqref>
            </x14:sparkline>
            <x14:sparkline>
              <xm:f>'Order &amp; Demand Profile'!H9:H98</xm:f>
              <xm:sqref>C44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Kushagra Kartikey - Supply Chain Command Center</dc:creator>
  <dc:title xmlns:dc="http://purl.org/dc/elements/1.1/">Logistics and Network Design</dc:title>
  <dcterms:created xmlns:dcterms="http://purl.org/dc/terms/" xmlns:xsi="http://www.w3.org/2001/XMLSchema-instance" xsi:type="dcterms:W3CDTF">2026-10-24T18:29:51Z</dcterms:created>
  <dcterms:modified xmlns:dcterms="http://purl.org/dc/terms/" xmlns:xsi="http://www.w3.org/2001/XMLSchema-instance" xsi:type="dcterms:W3CDTF">2026-10-24T18:29:53Z</dcterms:modified>
</cp:coreProperties>
</file>